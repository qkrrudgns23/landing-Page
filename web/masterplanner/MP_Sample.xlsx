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qkrru\Desktop\바탕 화면\creative_code\DMK_레포지토리\simulation_module\TeamFlexa_landing\web\masterplanner\"/>
    </mc:Choice>
  </mc:AlternateContent>
  <xr:revisionPtr revIDLastSave="0" documentId="13_ncr:1_{EDC9E1E9-D536-485B-8506-07E9AA4738A3}" xr6:coauthVersionLast="47" xr6:coauthVersionMax="47" xr10:uidLastSave="{00000000-0000-0000-0000-000000000000}"/>
  <bookViews>
    <workbookView xWindow="-110" yWindow="-110" windowWidth="25820" windowHeight="13900" tabRatio="872" xr2:uid="{00000000-000D-0000-FFFF-FFFF00000000}"/>
  </bookViews>
  <sheets>
    <sheet name="Demand" sheetId="1" r:id="rId1"/>
    <sheet name="raw_data" sheetId="3" r:id="rId2"/>
    <sheet name="ref" sheetId="4" state="hidden" r:id="rId3"/>
    <sheet name="Reg (total_passenger)" sheetId="27" r:id="rId4"/>
    <sheet name="Country Ratio (total_passenger)" sheetId="2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44" i="1" l="1"/>
  <c r="P144" i="1" s="1"/>
  <c r="O144" i="1" s="1"/>
  <c r="N144" i="1" s="1"/>
  <c r="M144" i="1" s="1"/>
  <c r="L144" i="1" s="1"/>
  <c r="K144" i="1" s="1"/>
  <c r="J144" i="1" s="1"/>
  <c r="I144" i="1" s="1"/>
  <c r="H144" i="1" s="1"/>
  <c r="F4" i="27" l="1"/>
  <c r="F5" i="27"/>
  <c r="F6" i="27"/>
  <c r="F7" i="27"/>
  <c r="F8" i="27"/>
  <c r="F9" i="27"/>
  <c r="F10" i="27"/>
  <c r="F11" i="27"/>
  <c r="F12" i="27"/>
  <c r="F13" i="27"/>
  <c r="F14" i="27"/>
  <c r="F15" i="27"/>
  <c r="F16" i="27"/>
  <c r="F17" i="27"/>
  <c r="F18" i="27"/>
  <c r="F19" i="27"/>
  <c r="F20" i="27"/>
  <c r="F21" i="27"/>
  <c r="F22" i="27"/>
  <c r="F23" i="27"/>
  <c r="F24" i="27" s="1"/>
  <c r="F25" i="27" s="1"/>
  <c r="F26" i="27" s="1"/>
  <c r="F27" i="27" s="1"/>
  <c r="F28" i="27" s="1"/>
  <c r="F29" i="27" s="1"/>
  <c r="F30" i="27" s="1"/>
  <c r="F31" i="27" s="1"/>
  <c r="F32" i="27" s="1"/>
  <c r="F33" i="27" s="1"/>
  <c r="F34" i="27" s="1"/>
  <c r="F35" i="27" s="1"/>
  <c r="F36" i="27" s="1"/>
  <c r="F37" i="27" s="1"/>
  <c r="F38" i="27" s="1"/>
  <c r="F39" i="27" s="1"/>
  <c r="F40" i="27" s="1"/>
  <c r="F41" i="27" s="1"/>
  <c r="F42" i="27" s="1"/>
  <c r="F43" i="27" s="1"/>
  <c r="F44" i="27" s="1"/>
  <c r="F45" i="27" s="1"/>
  <c r="F46" i="27" s="1"/>
  <c r="F47" i="27" s="1"/>
  <c r="H41" i="27"/>
  <c r="H4" i="27"/>
  <c r="F3" i="27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Q100" i="1" l="1"/>
  <c r="P100" i="1" s="1"/>
  <c r="O100" i="1" s="1"/>
  <c r="N100" i="1" s="1"/>
  <c r="M100" i="1" s="1"/>
  <c r="L100" i="1" s="1"/>
  <c r="K100" i="1" s="1"/>
  <c r="J100" i="1" s="1"/>
  <c r="I100" i="1" s="1"/>
  <c r="H100" i="1" s="1"/>
  <c r="Q58" i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F54" i="1"/>
  <c r="C54" i="1"/>
  <c r="F53" i="1"/>
  <c r="C53" i="1"/>
  <c r="F52" i="1"/>
  <c r="C52" i="1"/>
  <c r="F51" i="1"/>
  <c r="C51" i="1"/>
  <c r="C50" i="1"/>
  <c r="F49" i="1"/>
  <c r="C49" i="1"/>
  <c r="F48" i="1"/>
  <c r="C48" i="1"/>
  <c r="F47" i="1"/>
  <c r="C47" i="1"/>
  <c r="F45" i="1"/>
  <c r="C45" i="1"/>
  <c r="F44" i="1"/>
  <c r="C44" i="1"/>
  <c r="F43" i="1"/>
  <c r="C43" i="1"/>
  <c r="F42" i="1"/>
  <c r="C42" i="1"/>
  <c r="F40" i="1"/>
  <c r="C40" i="1"/>
  <c r="F39" i="1"/>
  <c r="C39" i="1"/>
  <c r="F38" i="1"/>
  <c r="C38" i="1"/>
  <c r="F37" i="1"/>
  <c r="C37" i="1"/>
  <c r="F36" i="1"/>
  <c r="C36" i="1"/>
  <c r="F35" i="1"/>
  <c r="C35" i="1"/>
  <c r="F34" i="1"/>
  <c r="C34" i="1"/>
  <c r="F33" i="1"/>
  <c r="C33" i="1"/>
  <c r="F32" i="1"/>
  <c r="C32" i="1"/>
  <c r="F31" i="1"/>
  <c r="C31" i="1"/>
  <c r="F30" i="1"/>
  <c r="C30" i="1"/>
  <c r="F29" i="1"/>
  <c r="C29" i="1"/>
  <c r="F28" i="1"/>
  <c r="C28" i="1"/>
  <c r="F27" i="1"/>
  <c r="C27" i="1"/>
  <c r="F26" i="1"/>
  <c r="C26" i="1"/>
  <c r="F25" i="1"/>
  <c r="C25" i="1"/>
  <c r="Q1" i="1"/>
  <c r="Q6" i="1" l="1"/>
  <c r="Q156" i="1"/>
  <c r="Q149" i="1"/>
  <c r="Q155" i="1"/>
  <c r="Q146" i="1"/>
  <c r="Q148" i="1"/>
  <c r="Q150" i="1"/>
  <c r="Q152" i="1"/>
  <c r="Q154" i="1"/>
  <c r="Q158" i="1"/>
  <c r="Q151" i="1"/>
  <c r="Q159" i="1"/>
  <c r="Q147" i="1"/>
  <c r="Q157" i="1"/>
  <c r="Q153" i="1"/>
  <c r="Q145" i="1"/>
  <c r="Q26" i="1"/>
  <c r="Q24" i="1"/>
  <c r="P1" i="1"/>
  <c r="P37" i="1" s="1"/>
  <c r="Q119" i="1"/>
  <c r="Q118" i="1"/>
  <c r="Q116" i="1"/>
  <c r="Q126" i="1" s="1"/>
  <c r="Q115" i="1"/>
  <c r="Q124" i="1" s="1"/>
  <c r="Q112" i="1"/>
  <c r="Q111" i="1"/>
  <c r="Q110" i="1"/>
  <c r="Q109" i="1"/>
  <c r="Q117" i="1"/>
  <c r="Q114" i="1"/>
  <c r="P58" i="1"/>
  <c r="O58" i="1" s="1"/>
  <c r="N58" i="1" s="1"/>
  <c r="M58" i="1" s="1"/>
  <c r="L58" i="1" s="1"/>
  <c r="K58" i="1" s="1"/>
  <c r="J58" i="1" s="1"/>
  <c r="I58" i="1" s="1"/>
  <c r="H58" i="1" s="1"/>
  <c r="Q4" i="1"/>
  <c r="Q32" i="1"/>
  <c r="Q74" i="1"/>
  <c r="Q34" i="1"/>
  <c r="Q53" i="1"/>
  <c r="Q7" i="1"/>
  <c r="Q37" i="1"/>
  <c r="R1" i="1"/>
  <c r="Q25" i="1"/>
  <c r="Q106" i="1"/>
  <c r="Q104" i="1"/>
  <c r="Q81" i="1"/>
  <c r="Q64" i="1"/>
  <c r="Q67" i="1"/>
  <c r="Q59" i="1"/>
  <c r="Q73" i="1"/>
  <c r="Q79" i="1"/>
  <c r="Q43" i="1"/>
  <c r="Q101" i="1"/>
  <c r="Q69" i="1"/>
  <c r="Q38" i="1"/>
  <c r="Q76" i="1"/>
  <c r="Q71" i="1"/>
  <c r="Q60" i="1"/>
  <c r="Q80" i="1"/>
  <c r="Q44" i="1"/>
  <c r="Q105" i="1"/>
  <c r="Q68" i="1"/>
  <c r="Q17" i="1"/>
  <c r="Q14" i="1"/>
  <c r="Q20" i="1"/>
  <c r="Q5" i="1"/>
  <c r="Q61" i="1"/>
  <c r="Q39" i="1"/>
  <c r="Q107" i="1"/>
  <c r="Q72" i="1"/>
  <c r="Q21" i="1"/>
  <c r="Q51" i="1"/>
  <c r="Q18" i="1"/>
  <c r="Q3" i="1"/>
  <c r="Q23" i="1"/>
  <c r="Q15" i="1"/>
  <c r="Q13" i="1"/>
  <c r="Q8" i="1"/>
  <c r="Q42" i="1"/>
  <c r="Q29" i="1"/>
  <c r="Q19" i="1"/>
  <c r="Q2" i="1"/>
  <c r="Q49" i="1"/>
  <c r="Q16" i="1"/>
  <c r="P68" i="1"/>
  <c r="P20" i="1"/>
  <c r="P5" i="1"/>
  <c r="P119" i="1"/>
  <c r="P8" i="1"/>
  <c r="P111" i="1"/>
  <c r="Q30" i="1"/>
  <c r="Q35" i="1"/>
  <c r="R100" i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Q47" i="1"/>
  <c r="Q31" i="1"/>
  <c r="Q27" i="1"/>
  <c r="Q52" i="1"/>
  <c r="Q33" i="1"/>
  <c r="Q28" i="1"/>
  <c r="Q48" i="1"/>
  <c r="P69" i="1" l="1"/>
  <c r="P42" i="1"/>
  <c r="P26" i="1"/>
  <c r="P73" i="1"/>
  <c r="P28" i="1"/>
  <c r="P34" i="1"/>
  <c r="P29" i="1"/>
  <c r="P30" i="1"/>
  <c r="P31" i="1"/>
  <c r="P118" i="1"/>
  <c r="P3" i="1"/>
  <c r="P80" i="1"/>
  <c r="P4" i="1"/>
  <c r="P109" i="1"/>
  <c r="P7" i="1"/>
  <c r="P51" i="1"/>
  <c r="P101" i="1"/>
  <c r="Q12" i="1"/>
  <c r="P52" i="1"/>
  <c r="P33" i="1"/>
  <c r="P72" i="1"/>
  <c r="P60" i="1"/>
  <c r="P115" i="1"/>
  <c r="P124" i="1" s="1"/>
  <c r="P59" i="1"/>
  <c r="P21" i="1"/>
  <c r="P79" i="1"/>
  <c r="P16" i="1"/>
  <c r="P24" i="1"/>
  <c r="P67" i="1"/>
  <c r="P71" i="1"/>
  <c r="P2" i="1"/>
  <c r="P106" i="1"/>
  <c r="P44" i="1"/>
  <c r="P14" i="1"/>
  <c r="P117" i="1"/>
  <c r="P15" i="1"/>
  <c r="P17" i="1"/>
  <c r="P116" i="1"/>
  <c r="P126" i="1" s="1"/>
  <c r="P53" i="1"/>
  <c r="P19" i="1"/>
  <c r="P76" i="1"/>
  <c r="P78" i="1" s="1"/>
  <c r="Q120" i="1"/>
  <c r="P32" i="1"/>
  <c r="P27" i="1"/>
  <c r="P61" i="1"/>
  <c r="P110" i="1"/>
  <c r="P104" i="1"/>
  <c r="P146" i="1"/>
  <c r="P148" i="1"/>
  <c r="P150" i="1"/>
  <c r="P152" i="1"/>
  <c r="P154" i="1"/>
  <c r="P156" i="1"/>
  <c r="P158" i="1"/>
  <c r="P145" i="1"/>
  <c r="P153" i="1"/>
  <c r="P151" i="1"/>
  <c r="P157" i="1"/>
  <c r="P147" i="1"/>
  <c r="P155" i="1"/>
  <c r="P149" i="1"/>
  <c r="P159" i="1"/>
  <c r="P18" i="1"/>
  <c r="P81" i="1"/>
  <c r="P112" i="1"/>
  <c r="P35" i="1"/>
  <c r="P74" i="1"/>
  <c r="O1" i="1"/>
  <c r="O39" i="1" s="1"/>
  <c r="P107" i="1"/>
  <c r="P39" i="1"/>
  <c r="P6" i="1"/>
  <c r="P38" i="1"/>
  <c r="P49" i="1"/>
  <c r="P23" i="1"/>
  <c r="P48" i="1"/>
  <c r="P47" i="1"/>
  <c r="P105" i="1"/>
  <c r="P64" i="1"/>
  <c r="P66" i="1" s="1"/>
  <c r="P90" i="1" s="1"/>
  <c r="P43" i="1"/>
  <c r="Q113" i="1"/>
  <c r="Q129" i="1"/>
  <c r="Q128" i="1"/>
  <c r="Q132" i="1"/>
  <c r="P25" i="1"/>
  <c r="P13" i="1"/>
  <c r="P12" i="1" s="1"/>
  <c r="P114" i="1"/>
  <c r="Q9" i="1"/>
  <c r="Q78" i="1"/>
  <c r="Q88" i="1" s="1"/>
  <c r="Q77" i="1"/>
  <c r="Q86" i="1" s="1"/>
  <c r="Q66" i="1"/>
  <c r="Q90" i="1" s="1"/>
  <c r="Q65" i="1"/>
  <c r="Q89" i="1" s="1"/>
  <c r="Q11" i="1"/>
  <c r="Q122" i="1"/>
  <c r="Q83" i="1"/>
  <c r="Q121" i="1"/>
  <c r="Q130" i="1"/>
  <c r="Q84" i="1"/>
  <c r="Q131" i="1"/>
  <c r="Q133" i="1"/>
  <c r="Q127" i="1"/>
  <c r="Q134" i="1"/>
  <c r="Q94" i="1"/>
  <c r="Q95" i="1"/>
  <c r="O114" i="1"/>
  <c r="O104" i="1"/>
  <c r="O105" i="1"/>
  <c r="O72" i="1"/>
  <c r="O61" i="1"/>
  <c r="O67" i="1"/>
  <c r="O17" i="1"/>
  <c r="O24" i="1"/>
  <c r="O6" i="1"/>
  <c r="O5" i="1"/>
  <c r="O112" i="1"/>
  <c r="O15" i="1"/>
  <c r="O2" i="1"/>
  <c r="O59" i="1"/>
  <c r="O19" i="1"/>
  <c r="O4" i="1"/>
  <c r="Q82" i="1"/>
  <c r="Q75" i="1"/>
  <c r="Q91" i="1"/>
  <c r="O42" i="1"/>
  <c r="O53" i="1"/>
  <c r="Q96" i="1"/>
  <c r="P62" i="1"/>
  <c r="P102" i="1"/>
  <c r="S1" i="1"/>
  <c r="O25" i="1"/>
  <c r="Q10" i="1"/>
  <c r="Q102" i="1"/>
  <c r="Q103" i="1" s="1"/>
  <c r="Q62" i="1"/>
  <c r="Q63" i="1" s="1"/>
  <c r="O34" i="1"/>
  <c r="P133" i="1" l="1"/>
  <c r="P108" i="1"/>
  <c r="P96" i="1"/>
  <c r="P121" i="1"/>
  <c r="P128" i="1"/>
  <c r="P84" i="1"/>
  <c r="P113" i="1"/>
  <c r="P95" i="1"/>
  <c r="P132" i="1"/>
  <c r="P83" i="1"/>
  <c r="P129" i="1"/>
  <c r="P11" i="1"/>
  <c r="P88" i="1"/>
  <c r="P93" i="1"/>
  <c r="P91" i="1"/>
  <c r="P63" i="1"/>
  <c r="P122" i="1"/>
  <c r="P77" i="1"/>
  <c r="P92" i="1" s="1"/>
  <c r="P65" i="1"/>
  <c r="P89" i="1" s="1"/>
  <c r="P10" i="1"/>
  <c r="P120" i="1"/>
  <c r="P94" i="1"/>
  <c r="P75" i="1"/>
  <c r="P134" i="1"/>
  <c r="O60" i="1"/>
  <c r="P9" i="1"/>
  <c r="O48" i="1"/>
  <c r="P127" i="1"/>
  <c r="O13" i="1"/>
  <c r="P82" i="1"/>
  <c r="O14" i="1"/>
  <c r="O52" i="1"/>
  <c r="O150" i="1"/>
  <c r="O148" i="1"/>
  <c r="O152" i="1"/>
  <c r="O156" i="1"/>
  <c r="O158" i="1"/>
  <c r="O146" i="1"/>
  <c r="O154" i="1"/>
  <c r="O145" i="1"/>
  <c r="O155" i="1"/>
  <c r="O149" i="1"/>
  <c r="O157" i="1"/>
  <c r="O147" i="1"/>
  <c r="O153" i="1"/>
  <c r="O151" i="1"/>
  <c r="O159" i="1"/>
  <c r="O81" i="1"/>
  <c r="O37" i="1"/>
  <c r="O109" i="1"/>
  <c r="O129" i="1" s="1"/>
  <c r="O3" i="1"/>
  <c r="O9" i="1" s="1"/>
  <c r="O110" i="1"/>
  <c r="O121" i="1" s="1"/>
  <c r="O18" i="1"/>
  <c r="O21" i="1"/>
  <c r="O16" i="1"/>
  <c r="O23" i="1"/>
  <c r="O117" i="1"/>
  <c r="O35" i="1"/>
  <c r="O8" i="1"/>
  <c r="O69" i="1"/>
  <c r="O119" i="1"/>
  <c r="O71" i="1"/>
  <c r="O27" i="1"/>
  <c r="O76" i="1"/>
  <c r="O78" i="1" s="1"/>
  <c r="O93" i="1" s="1"/>
  <c r="O33" i="1"/>
  <c r="O30" i="1"/>
  <c r="O79" i="1"/>
  <c r="N1" i="1"/>
  <c r="N112" i="1" s="1"/>
  <c r="O115" i="1"/>
  <c r="O124" i="1" s="1"/>
  <c r="O111" i="1"/>
  <c r="O122" i="1" s="1"/>
  <c r="O47" i="1"/>
  <c r="O43" i="1"/>
  <c r="O26" i="1"/>
  <c r="O32" i="1"/>
  <c r="O29" i="1"/>
  <c r="O107" i="1"/>
  <c r="O101" i="1"/>
  <c r="O116" i="1"/>
  <c r="O131" i="1" s="1"/>
  <c r="O74" i="1"/>
  <c r="O68" i="1"/>
  <c r="O80" i="1"/>
  <c r="O44" i="1"/>
  <c r="O106" i="1"/>
  <c r="O128" i="1" s="1"/>
  <c r="O64" i="1"/>
  <c r="O65" i="1" s="1"/>
  <c r="O89" i="1" s="1"/>
  <c r="O28" i="1"/>
  <c r="O7" i="1"/>
  <c r="O11" i="1" s="1"/>
  <c r="O73" i="1"/>
  <c r="O84" i="1" s="1"/>
  <c r="O49" i="1"/>
  <c r="O20" i="1"/>
  <c r="O51" i="1"/>
  <c r="O38" i="1"/>
  <c r="O118" i="1"/>
  <c r="O31" i="1"/>
  <c r="P131" i="1"/>
  <c r="Q108" i="1"/>
  <c r="P130" i="1"/>
  <c r="Q93" i="1"/>
  <c r="O127" i="1"/>
  <c r="O83" i="1"/>
  <c r="Q92" i="1"/>
  <c r="O10" i="1"/>
  <c r="Q70" i="1"/>
  <c r="P70" i="1"/>
  <c r="T1" i="1"/>
  <c r="P103" i="1"/>
  <c r="N118" i="1" l="1"/>
  <c r="P86" i="1"/>
  <c r="N71" i="1"/>
  <c r="N107" i="1"/>
  <c r="N6" i="1"/>
  <c r="N81" i="1"/>
  <c r="N21" i="1"/>
  <c r="N47" i="1"/>
  <c r="N29" i="1"/>
  <c r="N13" i="1"/>
  <c r="N105" i="1"/>
  <c r="O12" i="1"/>
  <c r="N67" i="1"/>
  <c r="N114" i="1"/>
  <c r="N117" i="1"/>
  <c r="N111" i="1"/>
  <c r="N115" i="1"/>
  <c r="N119" i="1"/>
  <c r="O96" i="1"/>
  <c r="N28" i="1"/>
  <c r="N73" i="1"/>
  <c r="N31" i="1"/>
  <c r="N4" i="1"/>
  <c r="O94" i="1"/>
  <c r="N64" i="1"/>
  <c r="N66" i="1" s="1"/>
  <c r="N90" i="1" s="1"/>
  <c r="N19" i="1"/>
  <c r="O134" i="1"/>
  <c r="N30" i="1"/>
  <c r="N18" i="1"/>
  <c r="N59" i="1"/>
  <c r="N34" i="1"/>
  <c r="N2" i="1"/>
  <c r="N60" i="1"/>
  <c r="N25" i="1"/>
  <c r="N3" i="1"/>
  <c r="N72" i="1"/>
  <c r="M1" i="1"/>
  <c r="M149" i="1" s="1"/>
  <c r="N43" i="1"/>
  <c r="N39" i="1"/>
  <c r="N68" i="1"/>
  <c r="N26" i="1"/>
  <c r="N74" i="1"/>
  <c r="N109" i="1"/>
  <c r="N32" i="1"/>
  <c r="N116" i="1"/>
  <c r="N15" i="1"/>
  <c r="N7" i="1"/>
  <c r="N106" i="1"/>
  <c r="N38" i="1"/>
  <c r="N5" i="1"/>
  <c r="N42" i="1"/>
  <c r="N52" i="1"/>
  <c r="N8" i="1"/>
  <c r="N69" i="1"/>
  <c r="N110" i="1"/>
  <c r="N49" i="1"/>
  <c r="N48" i="1"/>
  <c r="N79" i="1"/>
  <c r="N20" i="1"/>
  <c r="N62" i="1" s="1"/>
  <c r="N51" i="1"/>
  <c r="O130" i="1"/>
  <c r="N44" i="1"/>
  <c r="N24" i="1"/>
  <c r="N101" i="1"/>
  <c r="N17" i="1"/>
  <c r="N37" i="1"/>
  <c r="N61" i="1"/>
  <c r="O95" i="1"/>
  <c r="O113" i="1"/>
  <c r="O120" i="1"/>
  <c r="O82" i="1"/>
  <c r="O75" i="1"/>
  <c r="N53" i="1"/>
  <c r="N14" i="1"/>
  <c r="N76" i="1"/>
  <c r="N78" i="1" s="1"/>
  <c r="N88" i="1" s="1"/>
  <c r="O66" i="1"/>
  <c r="O90" i="1" s="1"/>
  <c r="N104" i="1"/>
  <c r="N23" i="1"/>
  <c r="N80" i="1"/>
  <c r="N33" i="1"/>
  <c r="N27" i="1"/>
  <c r="N35" i="1"/>
  <c r="N16" i="1"/>
  <c r="O133" i="1"/>
  <c r="O132" i="1"/>
  <c r="O91" i="1"/>
  <c r="O126" i="1"/>
  <c r="O62" i="1"/>
  <c r="O63" i="1" s="1"/>
  <c r="O102" i="1"/>
  <c r="N158" i="1"/>
  <c r="N146" i="1"/>
  <c r="N148" i="1"/>
  <c r="N150" i="1"/>
  <c r="N152" i="1"/>
  <c r="N154" i="1"/>
  <c r="N156" i="1"/>
  <c r="N151" i="1"/>
  <c r="N155" i="1"/>
  <c r="N149" i="1"/>
  <c r="N159" i="1"/>
  <c r="N145" i="1"/>
  <c r="N153" i="1"/>
  <c r="N147" i="1"/>
  <c r="N157" i="1"/>
  <c r="O77" i="1"/>
  <c r="O92" i="1" s="1"/>
  <c r="O88" i="1"/>
  <c r="U1" i="1"/>
  <c r="M119" i="1"/>
  <c r="M116" i="1"/>
  <c r="M115" i="1"/>
  <c r="M81" i="1"/>
  <c r="M68" i="1"/>
  <c r="M105" i="1"/>
  <c r="M23" i="1"/>
  <c r="M21" i="1"/>
  <c r="M106" i="1"/>
  <c r="M39" i="1"/>
  <c r="M47" i="1"/>
  <c r="M37" i="1"/>
  <c r="M35" i="1"/>
  <c r="M114" i="1"/>
  <c r="M31" i="1"/>
  <c r="M2" i="1"/>
  <c r="M52" i="1"/>
  <c r="M28" i="1"/>
  <c r="M26" i="1"/>
  <c r="M53" i="1"/>
  <c r="N65" i="1" l="1"/>
  <c r="N89" i="1" s="1"/>
  <c r="N70" i="1"/>
  <c r="N130" i="1"/>
  <c r="N129" i="1"/>
  <c r="N95" i="1"/>
  <c r="N10" i="1"/>
  <c r="N75" i="1"/>
  <c r="N124" i="1"/>
  <c r="N113" i="1"/>
  <c r="N82" i="1"/>
  <c r="N96" i="1"/>
  <c r="N9" i="1"/>
  <c r="N83" i="1"/>
  <c r="N122" i="1"/>
  <c r="N121" i="1"/>
  <c r="N132" i="1"/>
  <c r="M159" i="1"/>
  <c r="M155" i="1"/>
  <c r="M147" i="1"/>
  <c r="M4" i="1"/>
  <c r="M73" i="1"/>
  <c r="M145" i="1"/>
  <c r="M59" i="1"/>
  <c r="M146" i="1"/>
  <c r="M109" i="1"/>
  <c r="M42" i="1"/>
  <c r="M67" i="1"/>
  <c r="M60" i="1"/>
  <c r="M112" i="1"/>
  <c r="M107" i="1"/>
  <c r="M17" i="1"/>
  <c r="M13" i="1"/>
  <c r="M72" i="1"/>
  <c r="M38" i="1"/>
  <c r="M20" i="1"/>
  <c r="M102" i="1" s="1"/>
  <c r="M76" i="1"/>
  <c r="M78" i="1" s="1"/>
  <c r="M88" i="1" s="1"/>
  <c r="M151" i="1"/>
  <c r="M153" i="1"/>
  <c r="M44" i="1"/>
  <c r="M29" i="1"/>
  <c r="M14" i="1"/>
  <c r="N94" i="1"/>
  <c r="M6" i="1"/>
  <c r="M69" i="1"/>
  <c r="N120" i="1"/>
  <c r="M34" i="1"/>
  <c r="M43" i="1"/>
  <c r="M111" i="1"/>
  <c r="M118" i="1"/>
  <c r="N134" i="1"/>
  <c r="N11" i="1"/>
  <c r="N131" i="1"/>
  <c r="N91" i="1"/>
  <c r="N133" i="1"/>
  <c r="N127" i="1"/>
  <c r="M64" i="1"/>
  <c r="M66" i="1" s="1"/>
  <c r="M90" i="1" s="1"/>
  <c r="L1" i="1"/>
  <c r="L155" i="1" s="1"/>
  <c r="M71" i="1"/>
  <c r="M156" i="1"/>
  <c r="M152" i="1"/>
  <c r="M18" i="1"/>
  <c r="M19" i="1"/>
  <c r="M101" i="1"/>
  <c r="M154" i="1"/>
  <c r="M25" i="1"/>
  <c r="M3" i="1"/>
  <c r="M9" i="1" s="1"/>
  <c r="M16" i="1"/>
  <c r="M110" i="1"/>
  <c r="M158" i="1"/>
  <c r="M32" i="1"/>
  <c r="M49" i="1"/>
  <c r="M15" i="1"/>
  <c r="M51" i="1"/>
  <c r="M27" i="1"/>
  <c r="M48" i="1"/>
  <c r="N77" i="1"/>
  <c r="N92" i="1" s="1"/>
  <c r="M157" i="1"/>
  <c r="N128" i="1"/>
  <c r="M30" i="1"/>
  <c r="M117" i="1"/>
  <c r="M134" i="1" s="1"/>
  <c r="M79" i="1"/>
  <c r="M96" i="1" s="1"/>
  <c r="M150" i="1"/>
  <c r="N102" i="1"/>
  <c r="N103" i="1" s="1"/>
  <c r="M5" i="1"/>
  <c r="M10" i="1" s="1"/>
  <c r="N84" i="1"/>
  <c r="M33" i="1"/>
  <c r="M8" i="1"/>
  <c r="M7" i="1"/>
  <c r="M11" i="1" s="1"/>
  <c r="M104" i="1"/>
  <c r="M128" i="1" s="1"/>
  <c r="M148" i="1"/>
  <c r="N12" i="1"/>
  <c r="N126" i="1"/>
  <c r="M74" i="1"/>
  <c r="M24" i="1"/>
  <c r="M61" i="1"/>
  <c r="M80" i="1"/>
  <c r="O70" i="1"/>
  <c r="O86" i="1"/>
  <c r="O103" i="1"/>
  <c r="O108" i="1"/>
  <c r="N93" i="1"/>
  <c r="N63" i="1"/>
  <c r="V1" i="1"/>
  <c r="M130" i="1"/>
  <c r="M124" i="1"/>
  <c r="M131" i="1"/>
  <c r="M126" i="1"/>
  <c r="L117" i="1"/>
  <c r="L119" i="1"/>
  <c r="L39" i="1"/>
  <c r="L47" i="1"/>
  <c r="L3" i="1"/>
  <c r="L43" i="1"/>
  <c r="L26" i="1"/>
  <c r="L49" i="1"/>
  <c r="M113" i="1" l="1"/>
  <c r="M129" i="1"/>
  <c r="M77" i="1"/>
  <c r="M92" i="1" s="1"/>
  <c r="M91" i="1"/>
  <c r="M12" i="1"/>
  <c r="M62" i="1"/>
  <c r="M70" i="1" s="1"/>
  <c r="R9" i="1"/>
  <c r="S9" i="1" s="1"/>
  <c r="T9" i="1" s="1"/>
  <c r="M121" i="1"/>
  <c r="M108" i="1"/>
  <c r="L79" i="1"/>
  <c r="L80" i="1"/>
  <c r="M122" i="1"/>
  <c r="L73" i="1"/>
  <c r="M127" i="1"/>
  <c r="L106" i="1"/>
  <c r="L29" i="1"/>
  <c r="L158" i="1"/>
  <c r="L149" i="1"/>
  <c r="L44" i="1"/>
  <c r="L153" i="1"/>
  <c r="L4" i="1"/>
  <c r="L33" i="1"/>
  <c r="L32" i="1"/>
  <c r="L5" i="1"/>
  <c r="L23" i="1"/>
  <c r="L71" i="1"/>
  <c r="L156" i="1"/>
  <c r="L114" i="1"/>
  <c r="L52" i="1"/>
  <c r="L110" i="1"/>
  <c r="L42" i="1"/>
  <c r="L51" i="1"/>
  <c r="L154" i="1"/>
  <c r="L21" i="1"/>
  <c r="L53" i="1"/>
  <c r="L8" i="1"/>
  <c r="L76" i="1"/>
  <c r="L77" i="1" s="1"/>
  <c r="L92" i="1" s="1"/>
  <c r="L69" i="1"/>
  <c r="N86" i="1"/>
  <c r="L152" i="1"/>
  <c r="L67" i="1"/>
  <c r="L14" i="1"/>
  <c r="L13" i="1"/>
  <c r="L81" i="1"/>
  <c r="M65" i="1"/>
  <c r="M89" i="1" s="1"/>
  <c r="L150" i="1"/>
  <c r="L20" i="1"/>
  <c r="L102" i="1" s="1"/>
  <c r="L148" i="1"/>
  <c r="L48" i="1"/>
  <c r="L59" i="1"/>
  <c r="L30" i="1"/>
  <c r="L151" i="1"/>
  <c r="L38" i="1"/>
  <c r="L37" i="1"/>
  <c r="L64" i="1"/>
  <c r="L66" i="1" s="1"/>
  <c r="L90" i="1" s="1"/>
  <c r="L16" i="1"/>
  <c r="L105" i="1"/>
  <c r="L35" i="1"/>
  <c r="L18" i="1"/>
  <c r="L19" i="1"/>
  <c r="L112" i="1"/>
  <c r="L146" i="1"/>
  <c r="L25" i="1"/>
  <c r="L101" i="1"/>
  <c r="L115" i="1"/>
  <c r="L34" i="1"/>
  <c r="L107" i="1"/>
  <c r="L104" i="1"/>
  <c r="K1" i="1"/>
  <c r="K150" i="1" s="1"/>
  <c r="L111" i="1"/>
  <c r="L2" i="1"/>
  <c r="L9" i="1" s="1"/>
  <c r="L116" i="1"/>
  <c r="L126" i="1" s="1"/>
  <c r="L147" i="1"/>
  <c r="L61" i="1"/>
  <c r="L60" i="1"/>
  <c r="L31" i="1"/>
  <c r="L6" i="1"/>
  <c r="L157" i="1"/>
  <c r="M75" i="1"/>
  <c r="L24" i="1"/>
  <c r="L7" i="1"/>
  <c r="L72" i="1"/>
  <c r="L68" i="1"/>
  <c r="L159" i="1"/>
  <c r="L28" i="1"/>
  <c r="L109" i="1"/>
  <c r="L132" i="1" s="1"/>
  <c r="L27" i="1"/>
  <c r="L118" i="1"/>
  <c r="L133" i="1" s="1"/>
  <c r="L145" i="1"/>
  <c r="L15" i="1"/>
  <c r="L17" i="1"/>
  <c r="L74" i="1"/>
  <c r="M133" i="1"/>
  <c r="M82" i="1"/>
  <c r="M132" i="1"/>
  <c r="M83" i="1"/>
  <c r="M94" i="1"/>
  <c r="M84" i="1"/>
  <c r="M95" i="1"/>
  <c r="M120" i="1"/>
  <c r="N108" i="1"/>
  <c r="K153" i="1"/>
  <c r="M93" i="1"/>
  <c r="L134" i="1"/>
  <c r="M103" i="1"/>
  <c r="W1" i="1"/>
  <c r="K61" i="1"/>
  <c r="K112" i="1"/>
  <c r="K117" i="1"/>
  <c r="K42" i="1"/>
  <c r="K23" i="1"/>
  <c r="K24" i="1"/>
  <c r="K8" i="1"/>
  <c r="K71" i="1"/>
  <c r="K43" i="1"/>
  <c r="K37" i="1"/>
  <c r="K52" i="1"/>
  <c r="M86" i="1" l="1"/>
  <c r="M63" i="1"/>
  <c r="L11" i="1"/>
  <c r="L127" i="1"/>
  <c r="L131" i="1"/>
  <c r="L95" i="1"/>
  <c r="L103" i="1"/>
  <c r="L130" i="1"/>
  <c r="L96" i="1"/>
  <c r="L10" i="1"/>
  <c r="L65" i="1"/>
  <c r="L89" i="1" s="1"/>
  <c r="L84" i="1"/>
  <c r="L129" i="1"/>
  <c r="L94" i="1"/>
  <c r="L62" i="1"/>
  <c r="L70" i="1" s="1"/>
  <c r="L124" i="1"/>
  <c r="L78" i="1"/>
  <c r="L88" i="1" s="1"/>
  <c r="L12" i="1"/>
  <c r="L75" i="1"/>
  <c r="L91" i="1"/>
  <c r="L113" i="1"/>
  <c r="L122" i="1"/>
  <c r="L121" i="1"/>
  <c r="L128" i="1"/>
  <c r="K26" i="1"/>
  <c r="K159" i="1"/>
  <c r="K147" i="1"/>
  <c r="K116" i="1"/>
  <c r="K13" i="1"/>
  <c r="K76" i="1"/>
  <c r="K78" i="1" s="1"/>
  <c r="K88" i="1" s="1"/>
  <c r="K156" i="1"/>
  <c r="K25" i="1"/>
  <c r="K119" i="1"/>
  <c r="K134" i="1" s="1"/>
  <c r="K16" i="1"/>
  <c r="K107" i="1"/>
  <c r="L82" i="1"/>
  <c r="K33" i="1"/>
  <c r="K110" i="1"/>
  <c r="K19" i="1"/>
  <c r="K82" i="1" s="1"/>
  <c r="K114" i="1"/>
  <c r="K151" i="1"/>
  <c r="K53" i="1"/>
  <c r="K3" i="1"/>
  <c r="K79" i="1"/>
  <c r="K94" i="1" s="1"/>
  <c r="K105" i="1"/>
  <c r="K154" i="1"/>
  <c r="K145" i="1"/>
  <c r="K48" i="1"/>
  <c r="K5" i="1"/>
  <c r="K38" i="1"/>
  <c r="K115" i="1"/>
  <c r="K34" i="1"/>
  <c r="K47" i="1"/>
  <c r="K80" i="1"/>
  <c r="K118" i="1"/>
  <c r="K133" i="1" s="1"/>
  <c r="K51" i="1"/>
  <c r="K6" i="1"/>
  <c r="K101" i="1"/>
  <c r="L120" i="1"/>
  <c r="K30" i="1"/>
  <c r="K18" i="1"/>
  <c r="K44" i="1"/>
  <c r="J1" i="1"/>
  <c r="J69" i="1" s="1"/>
  <c r="K32" i="1"/>
  <c r="K68" i="1"/>
  <c r="K39" i="1"/>
  <c r="K15" i="1"/>
  <c r="K4" i="1"/>
  <c r="K149" i="1"/>
  <c r="L83" i="1"/>
  <c r="K109" i="1"/>
  <c r="K113" i="1" s="1"/>
  <c r="K158" i="1"/>
  <c r="K49" i="1"/>
  <c r="K104" i="1"/>
  <c r="K14" i="1"/>
  <c r="K64" i="1"/>
  <c r="K65" i="1" s="1"/>
  <c r="K89" i="1" s="1"/>
  <c r="K148" i="1"/>
  <c r="K31" i="1"/>
  <c r="K74" i="1"/>
  <c r="K75" i="1" s="1"/>
  <c r="K60" i="1"/>
  <c r="K72" i="1"/>
  <c r="K111" i="1"/>
  <c r="K146" i="1"/>
  <c r="K59" i="1"/>
  <c r="K20" i="1"/>
  <c r="K102" i="1" s="1"/>
  <c r="K67" i="1"/>
  <c r="K35" i="1"/>
  <c r="K29" i="1"/>
  <c r="K17" i="1"/>
  <c r="K73" i="1"/>
  <c r="K157" i="1"/>
  <c r="U9" i="1"/>
  <c r="K152" i="1"/>
  <c r="K27" i="1"/>
  <c r="K106" i="1"/>
  <c r="K7" i="1"/>
  <c r="K69" i="1"/>
  <c r="K155" i="1"/>
  <c r="K28" i="1"/>
  <c r="K2" i="1"/>
  <c r="K21" i="1"/>
  <c r="K81" i="1"/>
  <c r="J146" i="1"/>
  <c r="J154" i="1"/>
  <c r="J151" i="1"/>
  <c r="J159" i="1"/>
  <c r="J152" i="1"/>
  <c r="J148" i="1"/>
  <c r="L86" i="1"/>
  <c r="L108" i="1"/>
  <c r="X1" i="1"/>
  <c r="J104" i="1"/>
  <c r="J76" i="1"/>
  <c r="J61" i="1"/>
  <c r="J81" i="1"/>
  <c r="J64" i="1"/>
  <c r="J119" i="1"/>
  <c r="J109" i="1"/>
  <c r="J67" i="1"/>
  <c r="J17" i="1"/>
  <c r="J27" i="1"/>
  <c r="J72" i="1"/>
  <c r="J24" i="1"/>
  <c r="J5" i="1"/>
  <c r="J29" i="1"/>
  <c r="J26" i="1"/>
  <c r="J2" i="1"/>
  <c r="J20" i="1"/>
  <c r="J15" i="1"/>
  <c r="J8" i="1"/>
  <c r="J60" i="1"/>
  <c r="K10" i="1" l="1"/>
  <c r="K77" i="1"/>
  <c r="K92" i="1" s="1"/>
  <c r="K121" i="1"/>
  <c r="K96" i="1"/>
  <c r="K66" i="1"/>
  <c r="K90" i="1" s="1"/>
  <c r="K83" i="1"/>
  <c r="K11" i="1"/>
  <c r="K131" i="1"/>
  <c r="K130" i="1"/>
  <c r="K9" i="1"/>
  <c r="K108" i="1"/>
  <c r="K127" i="1"/>
  <c r="L63" i="1"/>
  <c r="K122" i="1"/>
  <c r="K128" i="1"/>
  <c r="K95" i="1"/>
  <c r="K132" i="1"/>
  <c r="K84" i="1"/>
  <c r="L93" i="1"/>
  <c r="K12" i="1"/>
  <c r="K91" i="1"/>
  <c r="J23" i="1"/>
  <c r="J31" i="1"/>
  <c r="J13" i="1"/>
  <c r="J12" i="1" s="1"/>
  <c r="J28" i="1"/>
  <c r="J68" i="1"/>
  <c r="K120" i="1"/>
  <c r="J21" i="1"/>
  <c r="J30" i="1"/>
  <c r="J16" i="1"/>
  <c r="K126" i="1"/>
  <c r="J37" i="1"/>
  <c r="J19" i="1"/>
  <c r="J120" i="1" s="1"/>
  <c r="J39" i="1"/>
  <c r="J101" i="1"/>
  <c r="J49" i="1"/>
  <c r="J74" i="1"/>
  <c r="V9" i="1"/>
  <c r="W9" i="1" s="1"/>
  <c r="J38" i="1"/>
  <c r="J112" i="1"/>
  <c r="J113" i="1" s="1"/>
  <c r="J150" i="1"/>
  <c r="J18" i="1"/>
  <c r="J80" i="1"/>
  <c r="K124" i="1"/>
  <c r="J145" i="1"/>
  <c r="J33" i="1"/>
  <c r="J48" i="1"/>
  <c r="J25" i="1"/>
  <c r="J110" i="1"/>
  <c r="J59" i="1"/>
  <c r="J115" i="1"/>
  <c r="J124" i="1" s="1"/>
  <c r="J158" i="1"/>
  <c r="J51" i="1"/>
  <c r="J47" i="1"/>
  <c r="J111" i="1"/>
  <c r="J107" i="1"/>
  <c r="J156" i="1"/>
  <c r="J14" i="1"/>
  <c r="J32" i="1"/>
  <c r="J44" i="1"/>
  <c r="J6" i="1"/>
  <c r="J118" i="1"/>
  <c r="J157" i="1"/>
  <c r="J53" i="1"/>
  <c r="J3" i="1"/>
  <c r="J9" i="1" s="1"/>
  <c r="J117" i="1"/>
  <c r="J132" i="1" s="1"/>
  <c r="J153" i="1"/>
  <c r="J34" i="1"/>
  <c r="J79" i="1"/>
  <c r="J96" i="1" s="1"/>
  <c r="J52" i="1"/>
  <c r="J116" i="1"/>
  <c r="J71" i="1"/>
  <c r="J91" i="1" s="1"/>
  <c r="J105" i="1"/>
  <c r="J127" i="1" s="1"/>
  <c r="J147" i="1"/>
  <c r="K129" i="1"/>
  <c r="J149" i="1"/>
  <c r="J106" i="1"/>
  <c r="J128" i="1" s="1"/>
  <c r="I1" i="1"/>
  <c r="I157" i="1" s="1"/>
  <c r="J114" i="1"/>
  <c r="J129" i="1" s="1"/>
  <c r="K62" i="1"/>
  <c r="K63" i="1" s="1"/>
  <c r="J155" i="1"/>
  <c r="J7" i="1"/>
  <c r="J11" i="1" s="1"/>
  <c r="J42" i="1"/>
  <c r="J73" i="1"/>
  <c r="J35" i="1"/>
  <c r="J43" i="1"/>
  <c r="J4" i="1"/>
  <c r="K86" i="1"/>
  <c r="I151" i="1"/>
  <c r="K103" i="1"/>
  <c r="J77" i="1"/>
  <c r="J92" i="1" s="1"/>
  <c r="J78" i="1"/>
  <c r="J93" i="1" s="1"/>
  <c r="K93" i="1"/>
  <c r="J66" i="1"/>
  <c r="J90" i="1" s="1"/>
  <c r="J65" i="1"/>
  <c r="J89" i="1" s="1"/>
  <c r="J10" i="1"/>
  <c r="Y1" i="1"/>
  <c r="J62" i="1"/>
  <c r="J102" i="1"/>
  <c r="I67" i="1"/>
  <c r="I27" i="1"/>
  <c r="I20" i="1"/>
  <c r="J131" i="1" l="1"/>
  <c r="J75" i="1"/>
  <c r="J122" i="1"/>
  <c r="J130" i="1"/>
  <c r="J121" i="1"/>
  <c r="J126" i="1"/>
  <c r="J82" i="1"/>
  <c r="J83" i="1"/>
  <c r="I7" i="1"/>
  <c r="I17" i="1"/>
  <c r="I15" i="1"/>
  <c r="I150" i="1"/>
  <c r="I68" i="1"/>
  <c r="I48" i="1"/>
  <c r="I51" i="1"/>
  <c r="I44" i="1"/>
  <c r="I111" i="1"/>
  <c r="I31" i="1"/>
  <c r="I24" i="1"/>
  <c r="I29" i="1"/>
  <c r="I115" i="1"/>
  <c r="I124" i="1" s="1"/>
  <c r="J84" i="1"/>
  <c r="I119" i="1"/>
  <c r="I52" i="1"/>
  <c r="I76" i="1"/>
  <c r="I77" i="1" s="1"/>
  <c r="I92" i="1" s="1"/>
  <c r="I34" i="1"/>
  <c r="I117" i="1"/>
  <c r="I23" i="1"/>
  <c r="I110" i="1"/>
  <c r="I32" i="1"/>
  <c r="I47" i="1"/>
  <c r="I69" i="1"/>
  <c r="I107" i="1"/>
  <c r="I59" i="1"/>
  <c r="I79" i="1"/>
  <c r="I154" i="1"/>
  <c r="I2" i="1"/>
  <c r="I156" i="1"/>
  <c r="X9" i="1"/>
  <c r="Y9" i="1" s="1"/>
  <c r="I5" i="1"/>
  <c r="I71" i="1"/>
  <c r="I112" i="1"/>
  <c r="I146" i="1"/>
  <c r="I13" i="1"/>
  <c r="I12" i="1" s="1"/>
  <c r="I105" i="1"/>
  <c r="I33" i="1"/>
  <c r="I49" i="1"/>
  <c r="H1" i="1"/>
  <c r="I38" i="1"/>
  <c r="I152" i="1"/>
  <c r="J133" i="1"/>
  <c r="J95" i="1"/>
  <c r="I39" i="1"/>
  <c r="I4" i="1"/>
  <c r="I42" i="1"/>
  <c r="I53" i="1"/>
  <c r="I16" i="1"/>
  <c r="I74" i="1"/>
  <c r="I153" i="1"/>
  <c r="I35" i="1"/>
  <c r="I80" i="1"/>
  <c r="I8" i="1"/>
  <c r="I116" i="1"/>
  <c r="I126" i="1" s="1"/>
  <c r="I114" i="1"/>
  <c r="I158" i="1"/>
  <c r="I81" i="1"/>
  <c r="I145" i="1"/>
  <c r="I61" i="1"/>
  <c r="I149" i="1"/>
  <c r="I60" i="1"/>
  <c r="I37" i="1"/>
  <c r="I14" i="1"/>
  <c r="I104" i="1"/>
  <c r="I159" i="1"/>
  <c r="I3" i="1"/>
  <c r="I30" i="1"/>
  <c r="I18" i="1"/>
  <c r="I19" i="1"/>
  <c r="I106" i="1"/>
  <c r="I147" i="1"/>
  <c r="I28" i="1"/>
  <c r="I25" i="1"/>
  <c r="I64" i="1"/>
  <c r="I65" i="1" s="1"/>
  <c r="I89" i="1" s="1"/>
  <c r="I101" i="1"/>
  <c r="I6" i="1"/>
  <c r="I72" i="1"/>
  <c r="I148" i="1"/>
  <c r="J94" i="1"/>
  <c r="I43" i="1"/>
  <c r="I73" i="1"/>
  <c r="I26" i="1"/>
  <c r="I21" i="1"/>
  <c r="I118" i="1"/>
  <c r="I155" i="1"/>
  <c r="J134" i="1"/>
  <c r="J108" i="1"/>
  <c r="J63" i="1"/>
  <c r="K70" i="1"/>
  <c r="I109" i="1"/>
  <c r="H146" i="1"/>
  <c r="G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H152" i="1"/>
  <c r="H150" i="1"/>
  <c r="H154" i="1"/>
  <c r="G61" i="1" s="1"/>
  <c r="H145" i="1"/>
  <c r="H147" i="1"/>
  <c r="G17" i="1" s="1"/>
  <c r="R17" i="1" s="1"/>
  <c r="H149" i="1"/>
  <c r="H151" i="1"/>
  <c r="H153" i="1"/>
  <c r="H155" i="1"/>
  <c r="H157" i="1"/>
  <c r="H159" i="1"/>
  <c r="H158" i="1"/>
  <c r="H148" i="1"/>
  <c r="H156" i="1"/>
  <c r="G69" i="1" s="1"/>
  <c r="J88" i="1"/>
  <c r="J86" i="1"/>
  <c r="J103" i="1"/>
  <c r="J70" i="1"/>
  <c r="Z1" i="1"/>
  <c r="H117" i="1"/>
  <c r="H111" i="1"/>
  <c r="H109" i="1"/>
  <c r="H79" i="1"/>
  <c r="H107" i="1"/>
  <c r="H106" i="1"/>
  <c r="H105" i="1"/>
  <c r="H74" i="1"/>
  <c r="H104" i="1"/>
  <c r="H71" i="1"/>
  <c r="H114" i="1"/>
  <c r="H119" i="1"/>
  <c r="H115" i="1"/>
  <c r="H80" i="1"/>
  <c r="H42" i="1"/>
  <c r="H81" i="1"/>
  <c r="H67" i="1"/>
  <c r="H112" i="1"/>
  <c r="H68" i="1"/>
  <c r="H76" i="1"/>
  <c r="H48" i="1"/>
  <c r="H43" i="1"/>
  <c r="H116" i="1"/>
  <c r="H38" i="1"/>
  <c r="H110" i="1"/>
  <c r="H72" i="1"/>
  <c r="H101" i="1"/>
  <c r="H44" i="1"/>
  <c r="H69" i="1"/>
  <c r="H51" i="1"/>
  <c r="H61" i="1"/>
  <c r="H20" i="1"/>
  <c r="H118" i="1"/>
  <c r="H60" i="1"/>
  <c r="H4" i="1"/>
  <c r="H17" i="1"/>
  <c r="H39" i="1"/>
  <c r="H27" i="1"/>
  <c r="H21" i="1"/>
  <c r="H24" i="1"/>
  <c r="H6" i="1"/>
  <c r="H13" i="1"/>
  <c r="H18" i="1"/>
  <c r="H3" i="1"/>
  <c r="H64" i="1"/>
  <c r="H23" i="1"/>
  <c r="H14" i="1"/>
  <c r="H5" i="1"/>
  <c r="H7" i="1"/>
  <c r="H2" i="1"/>
  <c r="H15" i="1"/>
  <c r="H30" i="1"/>
  <c r="H19" i="1"/>
  <c r="H16" i="1"/>
  <c r="H8" i="1"/>
  <c r="H59" i="1"/>
  <c r="H73" i="1"/>
  <c r="H52" i="1"/>
  <c r="H29" i="1"/>
  <c r="H49" i="1"/>
  <c r="H28" i="1"/>
  <c r="H33" i="1"/>
  <c r="H35" i="1"/>
  <c r="H37" i="1"/>
  <c r="H26" i="1"/>
  <c r="H25" i="1"/>
  <c r="H53" i="1"/>
  <c r="H34" i="1"/>
  <c r="H32" i="1"/>
  <c r="H31" i="1"/>
  <c r="H47" i="1"/>
  <c r="I62" i="1"/>
  <c r="I70" i="1" s="1"/>
  <c r="I102" i="1"/>
  <c r="I10" i="1" l="1"/>
  <c r="I128" i="1"/>
  <c r="I82" i="1"/>
  <c r="I75" i="1"/>
  <c r="I95" i="1"/>
  <c r="I108" i="1"/>
  <c r="I134" i="1"/>
  <c r="I121" i="1"/>
  <c r="I11" i="1"/>
  <c r="I96" i="1"/>
  <c r="I120" i="1"/>
  <c r="I84" i="1"/>
  <c r="I83" i="1"/>
  <c r="I122" i="1"/>
  <c r="I127" i="1"/>
  <c r="I9" i="1"/>
  <c r="I91" i="1"/>
  <c r="I132" i="1"/>
  <c r="I129" i="1"/>
  <c r="Z9" i="1"/>
  <c r="AA9" i="1" s="1"/>
  <c r="I78" i="1"/>
  <c r="I93" i="1" s="1"/>
  <c r="I94" i="1"/>
  <c r="I133" i="1"/>
  <c r="I113" i="1"/>
  <c r="I131" i="1"/>
  <c r="I130" i="1"/>
  <c r="I66" i="1"/>
  <c r="I90" i="1" s="1"/>
  <c r="H134" i="1"/>
  <c r="I86" i="1"/>
  <c r="I103" i="1"/>
  <c r="H66" i="1"/>
  <c r="H90" i="1" s="1"/>
  <c r="H65" i="1"/>
  <c r="H89" i="1" s="1"/>
  <c r="G89" i="1" s="1"/>
  <c r="H128" i="1"/>
  <c r="H78" i="1"/>
  <c r="H93" i="1" s="1"/>
  <c r="H77" i="1"/>
  <c r="H86" i="1" s="1"/>
  <c r="H121" i="1"/>
  <c r="H127" i="1"/>
  <c r="H133" i="1"/>
  <c r="H122" i="1"/>
  <c r="H129" i="1"/>
  <c r="G51" i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G52" i="1"/>
  <c r="R52" i="1" s="1"/>
  <c r="S52" i="1" s="1"/>
  <c r="T52" i="1" s="1"/>
  <c r="U52" i="1" s="1"/>
  <c r="V52" i="1" s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G54" i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G53" i="1"/>
  <c r="R53" i="1" s="1"/>
  <c r="S53" i="1" s="1"/>
  <c r="T53" i="1" s="1"/>
  <c r="U53" i="1" s="1"/>
  <c r="V53" i="1" s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H120" i="1"/>
  <c r="H113" i="1"/>
  <c r="H12" i="1"/>
  <c r="G25" i="1"/>
  <c r="R25" i="1" s="1"/>
  <c r="G26" i="1"/>
  <c r="R26" i="1" s="1"/>
  <c r="G27" i="1"/>
  <c r="R27" i="1" s="1"/>
  <c r="G28" i="1"/>
  <c r="R28" i="1" s="1"/>
  <c r="S17" i="1"/>
  <c r="R16" i="1"/>
  <c r="I63" i="1"/>
  <c r="H84" i="1"/>
  <c r="G39" i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G40" i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G38" i="1"/>
  <c r="R38" i="1" s="1"/>
  <c r="S38" i="1" s="1"/>
  <c r="T38" i="1" s="1"/>
  <c r="U38" i="1" s="1"/>
  <c r="V38" i="1" s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G37" i="1"/>
  <c r="R37" i="1" s="1"/>
  <c r="H131" i="1"/>
  <c r="H126" i="1"/>
  <c r="H95" i="1"/>
  <c r="H124" i="1"/>
  <c r="H130" i="1"/>
  <c r="G50" i="1"/>
  <c r="G48" i="1"/>
  <c r="G47" i="1"/>
  <c r="G49" i="1"/>
  <c r="H10" i="1"/>
  <c r="G35" i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G33" i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G34" i="1"/>
  <c r="R34" i="1" s="1"/>
  <c r="S34" i="1" s="1"/>
  <c r="T34" i="1" s="1"/>
  <c r="U34" i="1" s="1"/>
  <c r="V34" i="1" s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G36" i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G63" i="1"/>
  <c r="R60" i="1" s="1"/>
  <c r="G103" i="1"/>
  <c r="AE61" i="1"/>
  <c r="AD61" i="1"/>
  <c r="AC61" i="1"/>
  <c r="AS61" i="1"/>
  <c r="Y61" i="1"/>
  <c r="AR61" i="1"/>
  <c r="X61" i="1"/>
  <c r="Z61" i="1"/>
  <c r="W61" i="1"/>
  <c r="V61" i="1"/>
  <c r="U61" i="1"/>
  <c r="AQ61" i="1"/>
  <c r="AN61" i="1"/>
  <c r="AM61" i="1"/>
  <c r="AL61" i="1"/>
  <c r="AG61" i="1"/>
  <c r="AF61" i="1"/>
  <c r="AB61" i="1"/>
  <c r="AA61" i="1"/>
  <c r="T61" i="1"/>
  <c r="S61" i="1"/>
  <c r="AK61" i="1"/>
  <c r="AI61" i="1"/>
  <c r="AJ61" i="1"/>
  <c r="AH61" i="1"/>
  <c r="AU61" i="1"/>
  <c r="AT61" i="1"/>
  <c r="AP61" i="1"/>
  <c r="AO61" i="1"/>
  <c r="G9" i="1"/>
  <c r="G10" i="1"/>
  <c r="R10" i="1" s="1"/>
  <c r="G11" i="1"/>
  <c r="R11" i="1" s="1"/>
  <c r="H11" i="1"/>
  <c r="H94" i="1"/>
  <c r="H96" i="1"/>
  <c r="G96" i="1" s="1"/>
  <c r="AP69" i="1"/>
  <c r="V69" i="1"/>
  <c r="AM69" i="1"/>
  <c r="S69" i="1"/>
  <c r="AH69" i="1"/>
  <c r="AG69" i="1"/>
  <c r="AF69" i="1"/>
  <c r="AB69" i="1"/>
  <c r="AA69" i="1"/>
  <c r="AS69" i="1"/>
  <c r="W69" i="1"/>
  <c r="T69" i="1"/>
  <c r="R69" i="1"/>
  <c r="AU69" i="1"/>
  <c r="AQ69" i="1"/>
  <c r="AL69" i="1"/>
  <c r="AK69" i="1"/>
  <c r="AJ69" i="1"/>
  <c r="AR69" i="1"/>
  <c r="AO69" i="1"/>
  <c r="AE69" i="1"/>
  <c r="AC69" i="1"/>
  <c r="AD69" i="1"/>
  <c r="Z69" i="1"/>
  <c r="Y69" i="1"/>
  <c r="X69" i="1"/>
  <c r="U69" i="1"/>
  <c r="AI69" i="1"/>
  <c r="AN69" i="1"/>
  <c r="AT69" i="1"/>
  <c r="H102" i="1"/>
  <c r="H108" i="1" s="1"/>
  <c r="H62" i="1"/>
  <c r="H63" i="1" s="1"/>
  <c r="G108" i="1"/>
  <c r="G70" i="1"/>
  <c r="H75" i="1"/>
  <c r="H82" i="1"/>
  <c r="H132" i="1"/>
  <c r="H9" i="1"/>
  <c r="H83" i="1"/>
  <c r="G45" i="1"/>
  <c r="G42" i="1"/>
  <c r="G43" i="1"/>
  <c r="G44" i="1"/>
  <c r="AA1" i="1"/>
  <c r="H91" i="1"/>
  <c r="G127" i="1" l="1"/>
  <c r="AE127" i="1" s="1"/>
  <c r="G129" i="1"/>
  <c r="AJ129" i="1" s="1"/>
  <c r="G134" i="1"/>
  <c r="S134" i="1" s="1"/>
  <c r="G128" i="1"/>
  <c r="AM128" i="1" s="1"/>
  <c r="G95" i="1"/>
  <c r="V95" i="1" s="1"/>
  <c r="G132" i="1"/>
  <c r="AT132" i="1" s="1"/>
  <c r="G91" i="1"/>
  <c r="V91" i="1" s="1"/>
  <c r="G130" i="1"/>
  <c r="X130" i="1" s="1"/>
  <c r="I88" i="1"/>
  <c r="AB9" i="1"/>
  <c r="AC9" i="1" s="1"/>
  <c r="G93" i="1"/>
  <c r="AM93" i="1" s="1"/>
  <c r="G131" i="1"/>
  <c r="AQ131" i="1" s="1"/>
  <c r="G90" i="1"/>
  <c r="AS90" i="1" s="1"/>
  <c r="G94" i="1"/>
  <c r="AJ94" i="1" s="1"/>
  <c r="G133" i="1"/>
  <c r="T133" i="1" s="1"/>
  <c r="H88" i="1"/>
  <c r="H92" i="1"/>
  <c r="G92" i="1" s="1"/>
  <c r="AA92" i="1" s="1"/>
  <c r="H103" i="1"/>
  <c r="AJ89" i="1"/>
  <c r="AG89" i="1"/>
  <c r="AP89" i="1"/>
  <c r="T89" i="1"/>
  <c r="AO89" i="1"/>
  <c r="S89" i="1"/>
  <c r="AN89" i="1"/>
  <c r="R89" i="1"/>
  <c r="AI89" i="1"/>
  <c r="AH89" i="1"/>
  <c r="AC89" i="1"/>
  <c r="AF89" i="1"/>
  <c r="AE89" i="1"/>
  <c r="AD89" i="1"/>
  <c r="AB89" i="1"/>
  <c r="Y89" i="1"/>
  <c r="V89" i="1"/>
  <c r="U89" i="1"/>
  <c r="AT89" i="1"/>
  <c r="AS89" i="1"/>
  <c r="AR89" i="1"/>
  <c r="AU89" i="1"/>
  <c r="AQ89" i="1"/>
  <c r="AM89" i="1"/>
  <c r="AL89" i="1"/>
  <c r="AK89" i="1"/>
  <c r="AA89" i="1"/>
  <c r="Z89" i="1"/>
  <c r="X89" i="1"/>
  <c r="W89" i="1"/>
  <c r="S11" i="1"/>
  <c r="R7" i="1"/>
  <c r="R8" i="1" s="1"/>
  <c r="S10" i="1"/>
  <c r="R5" i="1"/>
  <c r="R6" i="1" s="1"/>
  <c r="R3" i="1"/>
  <c r="R4" i="1" s="1"/>
  <c r="H70" i="1"/>
  <c r="AO127" i="1"/>
  <c r="AQ127" i="1"/>
  <c r="AB127" i="1"/>
  <c r="T17" i="1"/>
  <c r="S16" i="1"/>
  <c r="S28" i="1"/>
  <c r="S27" i="1"/>
  <c r="R61" i="1"/>
  <c r="S25" i="1"/>
  <c r="AB1" i="1"/>
  <c r="S26" i="1"/>
  <c r="S37" i="1"/>
  <c r="R13" i="1"/>
  <c r="AM96" i="1"/>
  <c r="S96" i="1"/>
  <c r="AL96" i="1"/>
  <c r="R96" i="1"/>
  <c r="AI96" i="1"/>
  <c r="AG96" i="1"/>
  <c r="AN96" i="1"/>
  <c r="AK96" i="1"/>
  <c r="AJ96" i="1"/>
  <c r="AD96" i="1"/>
  <c r="AC96" i="1"/>
  <c r="AA96" i="1"/>
  <c r="Y96" i="1"/>
  <c r="AU96" i="1"/>
  <c r="AT96" i="1"/>
  <c r="AS96" i="1"/>
  <c r="AR96" i="1"/>
  <c r="AO96" i="1"/>
  <c r="AE96" i="1"/>
  <c r="AB96" i="1"/>
  <c r="Z96" i="1"/>
  <c r="AQ96" i="1"/>
  <c r="AP96" i="1"/>
  <c r="AH96" i="1"/>
  <c r="W96" i="1"/>
  <c r="V96" i="1"/>
  <c r="AF96" i="1"/>
  <c r="U96" i="1"/>
  <c r="X96" i="1"/>
  <c r="T96" i="1"/>
  <c r="AL129" i="1" l="1"/>
  <c r="V127" i="1"/>
  <c r="AN127" i="1"/>
  <c r="AP127" i="1"/>
  <c r="S127" i="1"/>
  <c r="X127" i="1"/>
  <c r="AD127" i="1"/>
  <c r="AF127" i="1"/>
  <c r="AI127" i="1"/>
  <c r="AM127" i="1"/>
  <c r="W127" i="1"/>
  <c r="AK127" i="1"/>
  <c r="AG127" i="1"/>
  <c r="AR127" i="1"/>
  <c r="AH127" i="1"/>
  <c r="AS127" i="1"/>
  <c r="R127" i="1"/>
  <c r="Y127" i="1"/>
  <c r="AL127" i="1"/>
  <c r="Z127" i="1"/>
  <c r="AC127" i="1"/>
  <c r="AJ127" i="1"/>
  <c r="U127" i="1"/>
  <c r="AA127" i="1"/>
  <c r="AT127" i="1"/>
  <c r="AU127" i="1"/>
  <c r="T127" i="1"/>
  <c r="AN129" i="1"/>
  <c r="AM129" i="1"/>
  <c r="R129" i="1"/>
  <c r="AP129" i="1"/>
  <c r="S129" i="1"/>
  <c r="AQ129" i="1"/>
  <c r="AD134" i="1"/>
  <c r="U129" i="1"/>
  <c r="T129" i="1"/>
  <c r="W129" i="1"/>
  <c r="V129" i="1"/>
  <c r="X129" i="1"/>
  <c r="AC129" i="1"/>
  <c r="AB129" i="1"/>
  <c r="AE129" i="1"/>
  <c r="Y129" i="1"/>
  <c r="AK129" i="1"/>
  <c r="AS129" i="1"/>
  <c r="AO129" i="1"/>
  <c r="Z129" i="1"/>
  <c r="AF129" i="1"/>
  <c r="AT129" i="1"/>
  <c r="AG129" i="1"/>
  <c r="AI129" i="1"/>
  <c r="AU129" i="1"/>
  <c r="AR129" i="1"/>
  <c r="AD129" i="1"/>
  <c r="AH129" i="1"/>
  <c r="AA129" i="1"/>
  <c r="AK134" i="1"/>
  <c r="V134" i="1"/>
  <c r="AH134" i="1"/>
  <c r="V128" i="1"/>
  <c r="AE134" i="1"/>
  <c r="AI134" i="1"/>
  <c r="AN134" i="1"/>
  <c r="AQ134" i="1"/>
  <c r="U134" i="1"/>
  <c r="W128" i="1"/>
  <c r="AG134" i="1"/>
  <c r="AJ134" i="1"/>
  <c r="AF134" i="1"/>
  <c r="AA134" i="1"/>
  <c r="AL134" i="1"/>
  <c r="R134" i="1"/>
  <c r="AT134" i="1"/>
  <c r="W134" i="1"/>
  <c r="Z134" i="1"/>
  <c r="AU134" i="1"/>
  <c r="Y134" i="1"/>
  <c r="AK128" i="1"/>
  <c r="AP128" i="1"/>
  <c r="AA128" i="1"/>
  <c r="AO134" i="1"/>
  <c r="X95" i="1"/>
  <c r="AG95" i="1"/>
  <c r="X134" i="1"/>
  <c r="AB134" i="1"/>
  <c r="AC134" i="1"/>
  <c r="AK132" i="1"/>
  <c r="AJ128" i="1"/>
  <c r="AS134" i="1"/>
  <c r="AM134" i="1"/>
  <c r="Y130" i="1"/>
  <c r="AD128" i="1"/>
  <c r="AJ132" i="1"/>
  <c r="AR130" i="1"/>
  <c r="AI128" i="1"/>
  <c r="AT130" i="1"/>
  <c r="T134" i="1"/>
  <c r="AE128" i="1"/>
  <c r="Z130" i="1"/>
  <c r="T128" i="1"/>
  <c r="AN128" i="1"/>
  <c r="X128" i="1"/>
  <c r="AP134" i="1"/>
  <c r="AQ95" i="1"/>
  <c r="W95" i="1"/>
  <c r="AR134" i="1"/>
  <c r="AB132" i="1"/>
  <c r="S130" i="1"/>
  <c r="AB128" i="1"/>
  <c r="AU130" i="1"/>
  <c r="W130" i="1"/>
  <c r="AR95" i="1"/>
  <c r="AB130" i="1"/>
  <c r="AS95" i="1"/>
  <c r="AA130" i="1"/>
  <c r="AJ130" i="1"/>
  <c r="AF128" i="1"/>
  <c r="V132" i="1"/>
  <c r="AB95" i="1"/>
  <c r="U132" i="1"/>
  <c r="Z132" i="1"/>
  <c r="AO128" i="1"/>
  <c r="AR128" i="1"/>
  <c r="AE95" i="1"/>
  <c r="S132" i="1"/>
  <c r="AT128" i="1"/>
  <c r="AI95" i="1"/>
  <c r="AC132" i="1"/>
  <c r="AM132" i="1"/>
  <c r="AU128" i="1"/>
  <c r="T95" i="1"/>
  <c r="AJ95" i="1"/>
  <c r="AN132" i="1"/>
  <c r="W132" i="1"/>
  <c r="R128" i="1"/>
  <c r="Y95" i="1"/>
  <c r="AN95" i="1"/>
  <c r="AD132" i="1"/>
  <c r="AQ132" i="1"/>
  <c r="AC128" i="1"/>
  <c r="S95" i="1"/>
  <c r="AO95" i="1"/>
  <c r="T132" i="1"/>
  <c r="X132" i="1"/>
  <c r="AG128" i="1"/>
  <c r="Z95" i="1"/>
  <c r="R95" i="1"/>
  <c r="AR132" i="1"/>
  <c r="AH128" i="1"/>
  <c r="AD95" i="1"/>
  <c r="AP95" i="1"/>
  <c r="Y132" i="1"/>
  <c r="U128" i="1"/>
  <c r="AH95" i="1"/>
  <c r="AG132" i="1"/>
  <c r="AS132" i="1"/>
  <c r="AI130" i="1"/>
  <c r="AS128" i="1"/>
  <c r="AK95" i="1"/>
  <c r="AU95" i="1"/>
  <c r="R132" i="1"/>
  <c r="AE132" i="1"/>
  <c r="AF132" i="1"/>
  <c r="AA95" i="1"/>
  <c r="AH132" i="1"/>
  <c r="AA132" i="1"/>
  <c r="Y128" i="1"/>
  <c r="AL95" i="1"/>
  <c r="AC95" i="1"/>
  <c r="AI132" i="1"/>
  <c r="AU132" i="1"/>
  <c r="AO130" i="1"/>
  <c r="Z128" i="1"/>
  <c r="AM95" i="1"/>
  <c r="AF95" i="1"/>
  <c r="AO132" i="1"/>
  <c r="AL132" i="1"/>
  <c r="AT95" i="1"/>
  <c r="AP132" i="1"/>
  <c r="AL128" i="1"/>
  <c r="S128" i="1"/>
  <c r="U95" i="1"/>
  <c r="AQ128" i="1"/>
  <c r="AF130" i="1"/>
  <c r="AE130" i="1"/>
  <c r="AG130" i="1"/>
  <c r="AF91" i="1"/>
  <c r="AP91" i="1"/>
  <c r="U91" i="1"/>
  <c r="AU91" i="1"/>
  <c r="AR91" i="1"/>
  <c r="AE91" i="1"/>
  <c r="Y91" i="1"/>
  <c r="AC91" i="1"/>
  <c r="AS91" i="1"/>
  <c r="R91" i="1"/>
  <c r="AB91" i="1"/>
  <c r="AC130" i="1"/>
  <c r="AN91" i="1"/>
  <c r="AK130" i="1"/>
  <c r="AO91" i="1"/>
  <c r="AL130" i="1"/>
  <c r="AT91" i="1"/>
  <c r="AN130" i="1"/>
  <c r="S91" i="1"/>
  <c r="AM130" i="1"/>
  <c r="W91" i="1"/>
  <c r="AP130" i="1"/>
  <c r="X91" i="1"/>
  <c r="R130" i="1"/>
  <c r="Z91" i="1"/>
  <c r="AQ130" i="1"/>
  <c r="AG91" i="1"/>
  <c r="T130" i="1"/>
  <c r="AD9" i="1"/>
  <c r="AE9" i="1" s="1"/>
  <c r="AI91" i="1"/>
  <c r="AH130" i="1"/>
  <c r="AS130" i="1"/>
  <c r="AK91" i="1"/>
  <c r="U130" i="1"/>
  <c r="V130" i="1"/>
  <c r="AA91" i="1"/>
  <c r="AL91" i="1"/>
  <c r="AD91" i="1"/>
  <c r="T91" i="1"/>
  <c r="AD130" i="1"/>
  <c r="AH91" i="1"/>
  <c r="AJ91" i="1"/>
  <c r="AQ91" i="1"/>
  <c r="AM91" i="1"/>
  <c r="Y131" i="1"/>
  <c r="X131" i="1"/>
  <c r="AH93" i="1"/>
  <c r="AC93" i="1"/>
  <c r="AH90" i="1"/>
  <c r="Z90" i="1"/>
  <c r="W133" i="1"/>
  <c r="V93" i="1"/>
  <c r="S131" i="1"/>
  <c r="AD90" i="1"/>
  <c r="AJ133" i="1"/>
  <c r="AL93" i="1"/>
  <c r="AE90" i="1"/>
  <c r="AN133" i="1"/>
  <c r="AO93" i="1"/>
  <c r="AD131" i="1"/>
  <c r="AT93" i="1"/>
  <c r="AF90" i="1"/>
  <c r="AO133" i="1"/>
  <c r="S93" i="1"/>
  <c r="AE131" i="1"/>
  <c r="AA90" i="1"/>
  <c r="R131" i="1"/>
  <c r="R93" i="1"/>
  <c r="AL131" i="1"/>
  <c r="S90" i="1"/>
  <c r="R133" i="1"/>
  <c r="AE93" i="1"/>
  <c r="AQ93" i="1"/>
  <c r="AF131" i="1"/>
  <c r="AM90" i="1"/>
  <c r="AU133" i="1"/>
  <c r="AF93" i="1"/>
  <c r="U93" i="1"/>
  <c r="AH131" i="1"/>
  <c r="AK131" i="1"/>
  <c r="AN90" i="1"/>
  <c r="AJ93" i="1"/>
  <c r="AU90" i="1"/>
  <c r="AJ90" i="1"/>
  <c r="V90" i="1"/>
  <c r="V133" i="1"/>
  <c r="AG93" i="1"/>
  <c r="AR93" i="1"/>
  <c r="AI131" i="1"/>
  <c r="AK90" i="1"/>
  <c r="AP90" i="1"/>
  <c r="X133" i="1"/>
  <c r="AS93" i="1"/>
  <c r="Y93" i="1"/>
  <c r="AN131" i="1"/>
  <c r="AT90" i="1"/>
  <c r="Z133" i="1"/>
  <c r="AU93" i="1"/>
  <c r="Z93" i="1"/>
  <c r="AO131" i="1"/>
  <c r="R90" i="1"/>
  <c r="AA133" i="1"/>
  <c r="AP93" i="1"/>
  <c r="AA93" i="1"/>
  <c r="AM94" i="1"/>
  <c r="AU131" i="1"/>
  <c r="U90" i="1"/>
  <c r="Y133" i="1"/>
  <c r="AD93" i="1"/>
  <c r="AI93" i="1"/>
  <c r="AN94" i="1"/>
  <c r="AR131" i="1"/>
  <c r="W90" i="1"/>
  <c r="AS133" i="1"/>
  <c r="W93" i="1"/>
  <c r="AK93" i="1"/>
  <c r="AG94" i="1"/>
  <c r="T131" i="1"/>
  <c r="AL94" i="1"/>
  <c r="AG90" i="1"/>
  <c r="X93" i="1"/>
  <c r="T93" i="1"/>
  <c r="AI94" i="1"/>
  <c r="AT131" i="1"/>
  <c r="X90" i="1"/>
  <c r="AB93" i="1"/>
  <c r="AN93" i="1"/>
  <c r="AK94" i="1"/>
  <c r="W131" i="1"/>
  <c r="AB90" i="1"/>
  <c r="AR94" i="1"/>
  <c r="R94" i="1"/>
  <c r="AG131" i="1"/>
  <c r="Y90" i="1"/>
  <c r="AE133" i="1"/>
  <c r="AP94" i="1"/>
  <c r="AF133" i="1"/>
  <c r="T94" i="1"/>
  <c r="AC90" i="1"/>
  <c r="AI133" i="1"/>
  <c r="AH133" i="1"/>
  <c r="AC94" i="1"/>
  <c r="U94" i="1"/>
  <c r="AS131" i="1"/>
  <c r="AM131" i="1"/>
  <c r="AI90" i="1"/>
  <c r="AE94" i="1"/>
  <c r="AO94" i="1"/>
  <c r="U131" i="1"/>
  <c r="V131" i="1"/>
  <c r="AC133" i="1"/>
  <c r="AG133" i="1"/>
  <c r="AB94" i="1"/>
  <c r="AK133" i="1"/>
  <c r="AL90" i="1"/>
  <c r="AL133" i="1"/>
  <c r="AF94" i="1"/>
  <c r="W94" i="1"/>
  <c r="Z131" i="1"/>
  <c r="AP131" i="1"/>
  <c r="U133" i="1"/>
  <c r="AQ94" i="1"/>
  <c r="AR133" i="1"/>
  <c r="Z94" i="1"/>
  <c r="AA131" i="1"/>
  <c r="AR90" i="1"/>
  <c r="AP133" i="1"/>
  <c r="AT94" i="1"/>
  <c r="AB131" i="1"/>
  <c r="AQ90" i="1"/>
  <c r="AT133" i="1"/>
  <c r="AH94" i="1"/>
  <c r="AU94" i="1"/>
  <c r="AJ131" i="1"/>
  <c r="AM133" i="1"/>
  <c r="AD133" i="1"/>
  <c r="S94" i="1"/>
  <c r="AB133" i="1"/>
  <c r="AS94" i="1"/>
  <c r="AQ133" i="1"/>
  <c r="V94" i="1"/>
  <c r="AO90" i="1"/>
  <c r="X94" i="1"/>
  <c r="Y94" i="1"/>
  <c r="T90" i="1"/>
  <c r="S133" i="1"/>
  <c r="AD94" i="1"/>
  <c r="AA94" i="1"/>
  <c r="AC131" i="1"/>
  <c r="AL92" i="1"/>
  <c r="AM92" i="1"/>
  <c r="Y92" i="1"/>
  <c r="AB92" i="1"/>
  <c r="AU92" i="1"/>
  <c r="AG92" i="1"/>
  <c r="AI92" i="1"/>
  <c r="AP92" i="1"/>
  <c r="AD92" i="1"/>
  <c r="Z92" i="1"/>
  <c r="AJ92" i="1"/>
  <c r="AE92" i="1"/>
  <c r="R92" i="1"/>
  <c r="S92" i="1"/>
  <c r="T92" i="1"/>
  <c r="V92" i="1"/>
  <c r="U92" i="1"/>
  <c r="AQ92" i="1"/>
  <c r="AC92" i="1"/>
  <c r="AT92" i="1"/>
  <c r="AK92" i="1"/>
  <c r="AH92" i="1"/>
  <c r="AR92" i="1"/>
  <c r="AN92" i="1"/>
  <c r="AO92" i="1"/>
  <c r="W92" i="1"/>
  <c r="X92" i="1"/>
  <c r="AS92" i="1"/>
  <c r="AF92" i="1"/>
  <c r="S3" i="1"/>
  <c r="S4" i="1" s="1"/>
  <c r="T27" i="1"/>
  <c r="T10" i="1"/>
  <c r="S5" i="1"/>
  <c r="S6" i="1" s="1"/>
  <c r="T26" i="1"/>
  <c r="AC1" i="1"/>
  <c r="U17" i="1"/>
  <c r="T16" i="1"/>
  <c r="T25" i="1"/>
  <c r="T28" i="1"/>
  <c r="T11" i="1"/>
  <c r="S7" i="1"/>
  <c r="S8" i="1" s="1"/>
  <c r="R15" i="1"/>
  <c r="R20" i="1" s="1"/>
  <c r="T37" i="1"/>
  <c r="S13" i="1"/>
  <c r="AF9" i="1" l="1"/>
  <c r="AG9" i="1" s="1"/>
  <c r="AH9" i="1"/>
  <c r="AI9" i="1" s="1"/>
  <c r="R67" i="1"/>
  <c r="R107" i="1"/>
  <c r="R109" i="1" s="1"/>
  <c r="R114" i="1" s="1"/>
  <c r="R12" i="1"/>
  <c r="U27" i="1"/>
  <c r="AD1" i="1"/>
  <c r="U28" i="1"/>
  <c r="U25" i="1"/>
  <c r="R59" i="1"/>
  <c r="R101" i="1"/>
  <c r="R104" i="1" s="1"/>
  <c r="R31" i="1"/>
  <c r="R32" i="1"/>
  <c r="R29" i="1"/>
  <c r="R30" i="1"/>
  <c r="U11" i="1"/>
  <c r="T7" i="1"/>
  <c r="T8" i="1" s="1"/>
  <c r="V17" i="1"/>
  <c r="U16" i="1"/>
  <c r="T3" i="1"/>
  <c r="T4" i="1" s="1"/>
  <c r="S15" i="1"/>
  <c r="S20" i="1" s="1"/>
  <c r="S12" i="1" s="1"/>
  <c r="U26" i="1"/>
  <c r="U10" i="1"/>
  <c r="T5" i="1"/>
  <c r="T6" i="1" s="1"/>
  <c r="U37" i="1"/>
  <c r="T13" i="1"/>
  <c r="AJ9" i="1" l="1"/>
  <c r="V28" i="1"/>
  <c r="W17" i="1"/>
  <c r="V16" i="1"/>
  <c r="AE1" i="1"/>
  <c r="T15" i="1"/>
  <c r="T20" i="1" s="1"/>
  <c r="T12" i="1" s="1"/>
  <c r="V25" i="1"/>
  <c r="U13" i="1"/>
  <c r="V37" i="1"/>
  <c r="V27" i="1"/>
  <c r="R68" i="1"/>
  <c r="R71" i="1"/>
  <c r="V26" i="1"/>
  <c r="S101" i="1"/>
  <c r="S104" i="1" s="1"/>
  <c r="S107" i="1"/>
  <c r="S109" i="1" s="1"/>
  <c r="S31" i="1"/>
  <c r="S67" i="1"/>
  <c r="S29" i="1"/>
  <c r="S32" i="1"/>
  <c r="S59" i="1"/>
  <c r="S60" i="1" s="1"/>
  <c r="S30" i="1"/>
  <c r="V11" i="1"/>
  <c r="U7" i="1"/>
  <c r="U8" i="1" s="1"/>
  <c r="V10" i="1"/>
  <c r="U5" i="1"/>
  <c r="U6" i="1" s="1"/>
  <c r="R18" i="1"/>
  <c r="R19" i="1" s="1"/>
  <c r="R41" i="1"/>
  <c r="R117" i="1"/>
  <c r="U3" i="1"/>
  <c r="U4" i="1" s="1"/>
  <c r="R64" i="1"/>
  <c r="R106" i="1"/>
  <c r="R105" i="1"/>
  <c r="AK9" i="1" l="1"/>
  <c r="W10" i="1"/>
  <c r="V5" i="1"/>
  <c r="V6" i="1" s="1"/>
  <c r="W26" i="1"/>
  <c r="S64" i="1"/>
  <c r="R79" i="1"/>
  <c r="R76" i="1"/>
  <c r="AF1" i="1"/>
  <c r="R65" i="1"/>
  <c r="R66" i="1"/>
  <c r="R119" i="1"/>
  <c r="R118" i="1"/>
  <c r="R116" i="1"/>
  <c r="R115" i="1"/>
  <c r="V3" i="1"/>
  <c r="V4" i="1" s="1"/>
  <c r="S18" i="1"/>
  <c r="S19" i="1" s="1"/>
  <c r="S41" i="1"/>
  <c r="S68" i="1"/>
  <c r="S71" i="1"/>
  <c r="S114" i="1"/>
  <c r="S117" i="1"/>
  <c r="S106" i="1"/>
  <c r="S105" i="1"/>
  <c r="W27" i="1"/>
  <c r="R43" i="1"/>
  <c r="R42" i="1"/>
  <c r="R44" i="1"/>
  <c r="R45" i="1"/>
  <c r="W11" i="1"/>
  <c r="V7" i="1"/>
  <c r="V8" i="1" s="1"/>
  <c r="T107" i="1"/>
  <c r="T109" i="1" s="1"/>
  <c r="T59" i="1"/>
  <c r="T60" i="1" s="1"/>
  <c r="T67" i="1"/>
  <c r="T32" i="1"/>
  <c r="T29" i="1"/>
  <c r="T31" i="1"/>
  <c r="T101" i="1"/>
  <c r="T104" i="1" s="1"/>
  <c r="T30" i="1"/>
  <c r="X17" i="1"/>
  <c r="W16" i="1"/>
  <c r="U15" i="1"/>
  <c r="U20" i="1" s="1"/>
  <c r="W37" i="1"/>
  <c r="V13" i="1"/>
  <c r="W25" i="1"/>
  <c r="W28" i="1"/>
  <c r="AL9" i="1" l="1"/>
  <c r="AM9" i="1" s="1"/>
  <c r="T64" i="1"/>
  <c r="T65" i="1" s="1"/>
  <c r="Y17" i="1"/>
  <c r="X16" i="1"/>
  <c r="R46" i="1"/>
  <c r="S42" i="1"/>
  <c r="S43" i="1"/>
  <c r="S45" i="1"/>
  <c r="S44" i="1"/>
  <c r="T106" i="1"/>
  <c r="T105" i="1"/>
  <c r="S119" i="1"/>
  <c r="S118" i="1"/>
  <c r="X37" i="1"/>
  <c r="W13" i="1"/>
  <c r="X27" i="1"/>
  <c r="X26" i="1"/>
  <c r="X25" i="1"/>
  <c r="U101" i="1"/>
  <c r="U104" i="1" s="1"/>
  <c r="U107" i="1"/>
  <c r="U109" i="1" s="1"/>
  <c r="U67" i="1"/>
  <c r="U32" i="1"/>
  <c r="U31" i="1"/>
  <c r="U30" i="1"/>
  <c r="U29" i="1"/>
  <c r="U59" i="1"/>
  <c r="U60" i="1" s="1"/>
  <c r="X28" i="1"/>
  <c r="W3" i="1"/>
  <c r="W4" i="1" s="1"/>
  <c r="R77" i="1"/>
  <c r="R78" i="1"/>
  <c r="S116" i="1"/>
  <c r="S115" i="1"/>
  <c r="X11" i="1"/>
  <c r="W7" i="1"/>
  <c r="W8" i="1" s="1"/>
  <c r="S79" i="1"/>
  <c r="S76" i="1"/>
  <c r="V15" i="1"/>
  <c r="V20" i="1" s="1"/>
  <c r="V12" i="1" s="1"/>
  <c r="T18" i="1"/>
  <c r="T19" i="1" s="1"/>
  <c r="T41" i="1"/>
  <c r="AG1" i="1"/>
  <c r="U12" i="1"/>
  <c r="T68" i="1"/>
  <c r="T71" i="1"/>
  <c r="R80" i="1"/>
  <c r="R81" i="1"/>
  <c r="X10" i="1"/>
  <c r="W5" i="1"/>
  <c r="W6" i="1" s="1"/>
  <c r="S65" i="1"/>
  <c r="S66" i="1"/>
  <c r="T114" i="1"/>
  <c r="T117" i="1"/>
  <c r="AN9" i="1" l="1"/>
  <c r="AO9" i="1" s="1"/>
  <c r="T66" i="1"/>
  <c r="U68" i="1"/>
  <c r="U71" i="1"/>
  <c r="T118" i="1"/>
  <c r="T119" i="1"/>
  <c r="U64" i="1"/>
  <c r="T116" i="1"/>
  <c r="T115" i="1"/>
  <c r="T76" i="1"/>
  <c r="T79" i="1"/>
  <c r="U114" i="1"/>
  <c r="U117" i="1"/>
  <c r="Y27" i="1"/>
  <c r="X3" i="1"/>
  <c r="X4" i="1" s="1"/>
  <c r="S80" i="1"/>
  <c r="S81" i="1"/>
  <c r="V107" i="1"/>
  <c r="V109" i="1" s="1"/>
  <c r="V67" i="1"/>
  <c r="V32" i="1"/>
  <c r="V31" i="1"/>
  <c r="V29" i="1"/>
  <c r="V101" i="1"/>
  <c r="V104" i="1" s="1"/>
  <c r="V59" i="1"/>
  <c r="V60" i="1" s="1"/>
  <c r="V30" i="1"/>
  <c r="U106" i="1"/>
  <c r="U105" i="1"/>
  <c r="S78" i="1"/>
  <c r="S77" i="1"/>
  <c r="S46" i="1"/>
  <c r="Y25" i="1"/>
  <c r="T43" i="1"/>
  <c r="T44" i="1"/>
  <c r="T42" i="1"/>
  <c r="T45" i="1"/>
  <c r="AH1" i="1"/>
  <c r="Y11" i="1"/>
  <c r="X7" i="1"/>
  <c r="X8" i="1" s="1"/>
  <c r="R47" i="1"/>
  <c r="R48" i="1"/>
  <c r="R49" i="1"/>
  <c r="R50" i="1"/>
  <c r="Y26" i="1"/>
  <c r="Z17" i="1"/>
  <c r="Y16" i="1"/>
  <c r="U18" i="1"/>
  <c r="U19" i="1" s="1"/>
  <c r="U41" i="1"/>
  <c r="Y28" i="1"/>
  <c r="Y10" i="1"/>
  <c r="X5" i="1"/>
  <c r="X6" i="1" s="1"/>
  <c r="W15" i="1"/>
  <c r="W20" i="1" s="1"/>
  <c r="W12" i="1" s="1"/>
  <c r="Y37" i="1"/>
  <c r="X13" i="1"/>
  <c r="AP9" i="1" l="1"/>
  <c r="AQ9" i="1" s="1"/>
  <c r="V106" i="1"/>
  <c r="V105" i="1"/>
  <c r="U44" i="1"/>
  <c r="U42" i="1"/>
  <c r="U43" i="1"/>
  <c r="U45" i="1"/>
  <c r="U66" i="1"/>
  <c r="U65" i="1"/>
  <c r="Y3" i="1"/>
  <c r="Y4" i="1" s="1"/>
  <c r="AI1" i="1"/>
  <c r="T81" i="1"/>
  <c r="T80" i="1"/>
  <c r="T78" i="1"/>
  <c r="T77" i="1"/>
  <c r="Z27" i="1"/>
  <c r="AA17" i="1"/>
  <c r="Z16" i="1"/>
  <c r="Z26" i="1"/>
  <c r="V18" i="1"/>
  <c r="V19" i="1" s="1"/>
  <c r="V41" i="1"/>
  <c r="Z28" i="1"/>
  <c r="V64" i="1"/>
  <c r="Z25" i="1"/>
  <c r="U116" i="1"/>
  <c r="U115" i="1"/>
  <c r="S48" i="1"/>
  <c r="S47" i="1"/>
  <c r="S49" i="1"/>
  <c r="S50" i="1"/>
  <c r="V68" i="1"/>
  <c r="V71" i="1"/>
  <c r="V114" i="1"/>
  <c r="V117" i="1"/>
  <c r="U79" i="1"/>
  <c r="U76" i="1"/>
  <c r="X15" i="1"/>
  <c r="X20" i="1" s="1"/>
  <c r="X12" i="1" s="1"/>
  <c r="Z11" i="1"/>
  <c r="Y7" i="1"/>
  <c r="Y8" i="1" s="1"/>
  <c r="U119" i="1"/>
  <c r="U118" i="1"/>
  <c r="Z37" i="1"/>
  <c r="Y13" i="1"/>
  <c r="W101" i="1"/>
  <c r="W104" i="1" s="1"/>
  <c r="W107" i="1"/>
  <c r="W109" i="1" s="1"/>
  <c r="W59" i="1"/>
  <c r="W60" i="1" s="1"/>
  <c r="W67" i="1"/>
  <c r="W32" i="1"/>
  <c r="W29" i="1"/>
  <c r="W30" i="1"/>
  <c r="W31" i="1"/>
  <c r="T46" i="1"/>
  <c r="Z10" i="1"/>
  <c r="Y5" i="1"/>
  <c r="Y6" i="1" s="1"/>
  <c r="AR9" i="1" l="1"/>
  <c r="AS9" i="1" s="1"/>
  <c r="AT9" i="1" s="1"/>
  <c r="W64" i="1"/>
  <c r="W65" i="1" s="1"/>
  <c r="W105" i="1"/>
  <c r="W106" i="1"/>
  <c r="W18" i="1"/>
  <c r="W19" i="1" s="1"/>
  <c r="W41" i="1"/>
  <c r="Z3" i="1"/>
  <c r="Z4" i="1" s="1"/>
  <c r="W68" i="1"/>
  <c r="W71" i="1"/>
  <c r="W117" i="1"/>
  <c r="W114" i="1"/>
  <c r="AB17" i="1"/>
  <c r="AA16" i="1"/>
  <c r="AA27" i="1"/>
  <c r="V115" i="1"/>
  <c r="V116" i="1"/>
  <c r="AA26" i="1"/>
  <c r="AA10" i="1"/>
  <c r="Z5" i="1"/>
  <c r="Z6" i="1" s="1"/>
  <c r="V76" i="1"/>
  <c r="V79" i="1"/>
  <c r="V65" i="1"/>
  <c r="V66" i="1"/>
  <c r="AA11" i="1"/>
  <c r="Z7" i="1"/>
  <c r="Z8" i="1" s="1"/>
  <c r="Y15" i="1"/>
  <c r="Y20" i="1" s="1"/>
  <c r="Y12" i="1" s="1"/>
  <c r="U77" i="1"/>
  <c r="U78" i="1"/>
  <c r="AA28" i="1"/>
  <c r="T49" i="1"/>
  <c r="T48" i="1"/>
  <c r="T50" i="1"/>
  <c r="T47" i="1"/>
  <c r="AA37" i="1"/>
  <c r="Z13" i="1"/>
  <c r="U80" i="1"/>
  <c r="U81" i="1"/>
  <c r="V43" i="1"/>
  <c r="V42" i="1"/>
  <c r="V45" i="1"/>
  <c r="V44" i="1"/>
  <c r="AA25" i="1"/>
  <c r="U46" i="1"/>
  <c r="X107" i="1"/>
  <c r="X109" i="1" s="1"/>
  <c r="X101" i="1"/>
  <c r="X104" i="1" s="1"/>
  <c r="X59" i="1"/>
  <c r="X60" i="1" s="1"/>
  <c r="X67" i="1"/>
  <c r="X32" i="1"/>
  <c r="X29" i="1"/>
  <c r="X30" i="1"/>
  <c r="X31" i="1"/>
  <c r="V119" i="1"/>
  <c r="V118" i="1"/>
  <c r="AJ1" i="1"/>
  <c r="AU9" i="1" l="1"/>
  <c r="W66" i="1"/>
  <c r="V46" i="1"/>
  <c r="V50" i="1" s="1"/>
  <c r="X106" i="1"/>
  <c r="X105" i="1"/>
  <c r="Z15" i="1"/>
  <c r="Z20" i="1" s="1"/>
  <c r="Z12" i="1" s="1"/>
  <c r="X117" i="1"/>
  <c r="X114" i="1"/>
  <c r="AK1" i="1"/>
  <c r="AC17" i="1"/>
  <c r="AB16" i="1"/>
  <c r="AB26" i="1"/>
  <c r="W115" i="1"/>
  <c r="W116" i="1"/>
  <c r="W119" i="1"/>
  <c r="W118" i="1"/>
  <c r="AB11" i="1"/>
  <c r="AA7" i="1"/>
  <c r="AA8" i="1" s="1"/>
  <c r="AB37" i="1"/>
  <c r="AA13" i="1"/>
  <c r="W79" i="1"/>
  <c r="W76" i="1"/>
  <c r="X18" i="1"/>
  <c r="X19" i="1" s="1"/>
  <c r="X41" i="1"/>
  <c r="AB25" i="1"/>
  <c r="AB10" i="1"/>
  <c r="AA5" i="1"/>
  <c r="AA6" i="1" s="1"/>
  <c r="X68" i="1"/>
  <c r="X71" i="1"/>
  <c r="V77" i="1"/>
  <c r="V78" i="1"/>
  <c r="AB27" i="1"/>
  <c r="AA3" i="1"/>
  <c r="AA4" i="1" s="1"/>
  <c r="X64" i="1"/>
  <c r="Y107" i="1"/>
  <c r="Y109" i="1" s="1"/>
  <c r="Y59" i="1"/>
  <c r="Y60" i="1" s="1"/>
  <c r="Y67" i="1"/>
  <c r="Y32" i="1"/>
  <c r="Y29" i="1"/>
  <c r="Y30" i="1"/>
  <c r="Y101" i="1"/>
  <c r="Y104" i="1" s="1"/>
  <c r="Y31" i="1"/>
  <c r="U50" i="1"/>
  <c r="U48" i="1"/>
  <c r="U49" i="1"/>
  <c r="U47" i="1"/>
  <c r="AB28" i="1"/>
  <c r="V80" i="1"/>
  <c r="V81" i="1"/>
  <c r="W44" i="1"/>
  <c r="W43" i="1"/>
  <c r="W45" i="1"/>
  <c r="W42" i="1"/>
  <c r="V48" i="1" l="1"/>
  <c r="V49" i="1"/>
  <c r="V47" i="1"/>
  <c r="Y105" i="1"/>
  <c r="Y106" i="1"/>
  <c r="AC27" i="1"/>
  <c r="Y64" i="1"/>
  <c r="AA15" i="1"/>
  <c r="AA20" i="1" s="1"/>
  <c r="AA12" i="1" s="1"/>
  <c r="Z59" i="1"/>
  <c r="Z60" i="1" s="1"/>
  <c r="Z107" i="1"/>
  <c r="Z109" i="1" s="1"/>
  <c r="Z67" i="1"/>
  <c r="Z29" i="1"/>
  <c r="Z101" i="1"/>
  <c r="Z104" i="1" s="1"/>
  <c r="Z32" i="1"/>
  <c r="Z30" i="1"/>
  <c r="Z31" i="1"/>
  <c r="X116" i="1"/>
  <c r="X115" i="1"/>
  <c r="X118" i="1"/>
  <c r="X119" i="1"/>
  <c r="AC28" i="1"/>
  <c r="Y18" i="1"/>
  <c r="Y19" i="1" s="1"/>
  <c r="Y41" i="1"/>
  <c r="AC37" i="1"/>
  <c r="AB13" i="1"/>
  <c r="Y68" i="1"/>
  <c r="Y71" i="1"/>
  <c r="AC25" i="1"/>
  <c r="X79" i="1"/>
  <c r="X76" i="1"/>
  <c r="AC26" i="1"/>
  <c r="Y114" i="1"/>
  <c r="Y117" i="1"/>
  <c r="AC11" i="1"/>
  <c r="AB7" i="1"/>
  <c r="AB8" i="1" s="1"/>
  <c r="AC10" i="1"/>
  <c r="AB5" i="1"/>
  <c r="AB6" i="1" s="1"/>
  <c r="AB3" i="1"/>
  <c r="AB4" i="1" s="1"/>
  <c r="AL1" i="1"/>
  <c r="W46" i="1"/>
  <c r="X44" i="1"/>
  <c r="X43" i="1"/>
  <c r="X45" i="1"/>
  <c r="X42" i="1"/>
  <c r="AD17" i="1"/>
  <c r="AC16" i="1"/>
  <c r="X65" i="1"/>
  <c r="X66" i="1"/>
  <c r="W77" i="1"/>
  <c r="W78" i="1"/>
  <c r="W81" i="1"/>
  <c r="W80" i="1"/>
  <c r="X46" i="1" l="1"/>
  <c r="X47" i="1" s="1"/>
  <c r="AA107" i="1"/>
  <c r="AA109" i="1" s="1"/>
  <c r="AA101" i="1"/>
  <c r="AA104" i="1" s="1"/>
  <c r="AA67" i="1"/>
  <c r="AA29" i="1"/>
  <c r="AA59" i="1"/>
  <c r="AA60" i="1" s="1"/>
  <c r="AA32" i="1"/>
  <c r="AA30" i="1"/>
  <c r="AA31" i="1"/>
  <c r="Y66" i="1"/>
  <c r="Y65" i="1"/>
  <c r="Y116" i="1"/>
  <c r="Y115" i="1"/>
  <c r="AD26" i="1"/>
  <c r="AB15" i="1"/>
  <c r="AB20" i="1" s="1"/>
  <c r="AB12" i="1" s="1"/>
  <c r="AM1" i="1"/>
  <c r="AD37" i="1"/>
  <c r="AC13" i="1"/>
  <c r="X77" i="1"/>
  <c r="X78" i="1"/>
  <c r="AD28" i="1"/>
  <c r="AD27" i="1"/>
  <c r="Z18" i="1"/>
  <c r="Z19" i="1" s="1"/>
  <c r="Z41" i="1"/>
  <c r="Y119" i="1"/>
  <c r="Y118" i="1"/>
  <c r="AC3" i="1"/>
  <c r="AC4" i="1" s="1"/>
  <c r="Z64" i="1"/>
  <c r="W48" i="1"/>
  <c r="W47" i="1"/>
  <c r="W50" i="1"/>
  <c r="W49" i="1"/>
  <c r="AD25" i="1"/>
  <c r="Y44" i="1"/>
  <c r="Y42" i="1"/>
  <c r="Y45" i="1"/>
  <c r="Y43" i="1"/>
  <c r="Z68" i="1"/>
  <c r="Z71" i="1"/>
  <c r="AD11" i="1"/>
  <c r="AC7" i="1"/>
  <c r="AC8" i="1" s="1"/>
  <c r="Y76" i="1"/>
  <c r="Y79" i="1"/>
  <c r="X80" i="1"/>
  <c r="X81" i="1"/>
  <c r="AE17" i="1"/>
  <c r="AD16" i="1"/>
  <c r="Z117" i="1"/>
  <c r="Z114" i="1"/>
  <c r="AD10" i="1"/>
  <c r="AC5" i="1"/>
  <c r="AC6" i="1" s="1"/>
  <c r="Z105" i="1"/>
  <c r="Z106" i="1"/>
  <c r="AA64" i="1" l="1"/>
  <c r="AA66" i="1" s="1"/>
  <c r="X49" i="1"/>
  <c r="X48" i="1"/>
  <c r="X50" i="1"/>
  <c r="AA105" i="1"/>
  <c r="AA106" i="1"/>
  <c r="AE27" i="1"/>
  <c r="Y46" i="1"/>
  <c r="AE10" i="1"/>
  <c r="AD5" i="1"/>
  <c r="AD6" i="1" s="1"/>
  <c r="AE26" i="1"/>
  <c r="AD3" i="1"/>
  <c r="AD4" i="1" s="1"/>
  <c r="Z44" i="1"/>
  <c r="Z42" i="1"/>
  <c r="Z43" i="1"/>
  <c r="Z45" i="1"/>
  <c r="AN1" i="1"/>
  <c r="Z65" i="1"/>
  <c r="Z66" i="1"/>
  <c r="AA68" i="1"/>
  <c r="AA71" i="1"/>
  <c r="Z115" i="1"/>
  <c r="Z116" i="1"/>
  <c r="Z119" i="1"/>
  <c r="Z118" i="1"/>
  <c r="Y81" i="1"/>
  <c r="Y80" i="1"/>
  <c r="AA114" i="1"/>
  <c r="AA117" i="1"/>
  <c r="Z79" i="1"/>
  <c r="Z76" i="1"/>
  <c r="AA18" i="1"/>
  <c r="AA19" i="1" s="1"/>
  <c r="AA41" i="1"/>
  <c r="AF17" i="1"/>
  <c r="AE16" i="1"/>
  <c r="AC15" i="1"/>
  <c r="AC20" i="1" s="1"/>
  <c r="AC12" i="1" s="1"/>
  <c r="AB107" i="1"/>
  <c r="AB109" i="1" s="1"/>
  <c r="AB32" i="1"/>
  <c r="AB29" i="1"/>
  <c r="AB59" i="1"/>
  <c r="AB60" i="1" s="1"/>
  <c r="AB101" i="1"/>
  <c r="AB104" i="1" s="1"/>
  <c r="AB30" i="1"/>
  <c r="AB67" i="1"/>
  <c r="AB31" i="1"/>
  <c r="AE25" i="1"/>
  <c r="Y77" i="1"/>
  <c r="Y78" i="1"/>
  <c r="AE28" i="1"/>
  <c r="AE37" i="1"/>
  <c r="AD13" i="1"/>
  <c r="AE11" i="1"/>
  <c r="AD7" i="1"/>
  <c r="AD8" i="1" s="1"/>
  <c r="AA65" i="1" l="1"/>
  <c r="Z46" i="1"/>
  <c r="Z48" i="1" s="1"/>
  <c r="AB64" i="1"/>
  <c r="AB65" i="1" s="1"/>
  <c r="AB106" i="1"/>
  <c r="AB105" i="1"/>
  <c r="AF11" i="1"/>
  <c r="AE7" i="1"/>
  <c r="AE8" i="1" s="1"/>
  <c r="AF25" i="1"/>
  <c r="AA76" i="1"/>
  <c r="AA79" i="1"/>
  <c r="AF26" i="1"/>
  <c r="AE3" i="1"/>
  <c r="AE4" i="1" s="1"/>
  <c r="AO1" i="1"/>
  <c r="AF10" i="1"/>
  <c r="AE5" i="1"/>
  <c r="AE6" i="1" s="1"/>
  <c r="Z78" i="1"/>
  <c r="Z77" i="1"/>
  <c r="AD15" i="1"/>
  <c r="AD20" i="1" s="1"/>
  <c r="AD12" i="1" s="1"/>
  <c r="AG17" i="1"/>
  <c r="AF16" i="1"/>
  <c r="AC101" i="1"/>
  <c r="AC104" i="1" s="1"/>
  <c r="AC107" i="1"/>
  <c r="AC109" i="1" s="1"/>
  <c r="AC29" i="1"/>
  <c r="AC30" i="1"/>
  <c r="AC59" i="1"/>
  <c r="AC60" i="1" s="1"/>
  <c r="AC31" i="1"/>
  <c r="AC32" i="1"/>
  <c r="AC67" i="1"/>
  <c r="Z81" i="1"/>
  <c r="Z80" i="1"/>
  <c r="AA116" i="1"/>
  <c r="AA115" i="1"/>
  <c r="Y48" i="1"/>
  <c r="Y50" i="1"/>
  <c r="Y49" i="1"/>
  <c r="Y47" i="1"/>
  <c r="AF37" i="1"/>
  <c r="AE13" i="1"/>
  <c r="AB68" i="1"/>
  <c r="AB71" i="1"/>
  <c r="AF27" i="1"/>
  <c r="AB117" i="1"/>
  <c r="AB114" i="1"/>
  <c r="AF28" i="1"/>
  <c r="AA119" i="1"/>
  <c r="AA118" i="1"/>
  <c r="AA42" i="1"/>
  <c r="AA43" i="1"/>
  <c r="AA45" i="1"/>
  <c r="AA44" i="1"/>
  <c r="AB18" i="1"/>
  <c r="AB19" i="1" s="1"/>
  <c r="AB41" i="1"/>
  <c r="Z49" i="1" l="1"/>
  <c r="Z47" i="1"/>
  <c r="Z50" i="1"/>
  <c r="AB66" i="1"/>
  <c r="AA46" i="1"/>
  <c r="AA50" i="1" s="1"/>
  <c r="AB118" i="1"/>
  <c r="AB119" i="1"/>
  <c r="AG28" i="1"/>
  <c r="AG37" i="1"/>
  <c r="AF13" i="1"/>
  <c r="AE15" i="1"/>
  <c r="AE20" i="1" s="1"/>
  <c r="AE12" i="1" s="1"/>
  <c r="AG26" i="1"/>
  <c r="AC68" i="1"/>
  <c r="AC71" i="1"/>
  <c r="AF3" i="1"/>
  <c r="AF4" i="1" s="1"/>
  <c r="AC18" i="1"/>
  <c r="AC19" i="1" s="1"/>
  <c r="AC41" i="1"/>
  <c r="AC64" i="1"/>
  <c r="AC106" i="1"/>
  <c r="AC105" i="1"/>
  <c r="AA81" i="1"/>
  <c r="AA80" i="1"/>
  <c r="AC117" i="1"/>
  <c r="AC114" i="1"/>
  <c r="AG11" i="1"/>
  <c r="AF7" i="1"/>
  <c r="AF8" i="1" s="1"/>
  <c r="AB45" i="1"/>
  <c r="AB44" i="1"/>
  <c r="AB43" i="1"/>
  <c r="AB42" i="1"/>
  <c r="AB79" i="1"/>
  <c r="AB76" i="1"/>
  <c r="AA78" i="1"/>
  <c r="AA77" i="1"/>
  <c r="AG25" i="1"/>
  <c r="AD107" i="1"/>
  <c r="AD109" i="1" s="1"/>
  <c r="AD101" i="1"/>
  <c r="AD104" i="1" s="1"/>
  <c r="AD67" i="1"/>
  <c r="AD30" i="1"/>
  <c r="AD31" i="1"/>
  <c r="AD29" i="1"/>
  <c r="AD32" i="1"/>
  <c r="AD59" i="1"/>
  <c r="AD60" i="1" s="1"/>
  <c r="AG10" i="1"/>
  <c r="AF5" i="1"/>
  <c r="AF6" i="1" s="1"/>
  <c r="AG27" i="1"/>
  <c r="AP1" i="1"/>
  <c r="AB115" i="1"/>
  <c r="AB116" i="1"/>
  <c r="AH17" i="1"/>
  <c r="AG16" i="1"/>
  <c r="AD64" i="1" l="1"/>
  <c r="AD66" i="1" s="1"/>
  <c r="AA49" i="1"/>
  <c r="AA48" i="1"/>
  <c r="AA47" i="1"/>
  <c r="AD105" i="1"/>
  <c r="AD106" i="1"/>
  <c r="AD114" i="1"/>
  <c r="AD117" i="1"/>
  <c r="AH27" i="1"/>
  <c r="AE107" i="1"/>
  <c r="AE109" i="1" s="1"/>
  <c r="AE101" i="1"/>
  <c r="AE104" i="1" s="1"/>
  <c r="AE67" i="1"/>
  <c r="AE59" i="1"/>
  <c r="AE60" i="1" s="1"/>
  <c r="AE30" i="1"/>
  <c r="AE29" i="1"/>
  <c r="AE32" i="1"/>
  <c r="AE31" i="1"/>
  <c r="AH26" i="1"/>
  <c r="AB46" i="1"/>
  <c r="AC43" i="1"/>
  <c r="AC42" i="1"/>
  <c r="AC45" i="1"/>
  <c r="AC44" i="1"/>
  <c r="AB81" i="1"/>
  <c r="AB80" i="1"/>
  <c r="AH10" i="1"/>
  <c r="AG5" i="1"/>
  <c r="AG6" i="1" s="1"/>
  <c r="AF15" i="1"/>
  <c r="AF20" i="1" s="1"/>
  <c r="AG13" i="1"/>
  <c r="AH37" i="1"/>
  <c r="AD68" i="1"/>
  <c r="AD71" i="1"/>
  <c r="AC66" i="1"/>
  <c r="AC65" i="1"/>
  <c r="AB77" i="1"/>
  <c r="AB78" i="1"/>
  <c r="AH28" i="1"/>
  <c r="AI17" i="1"/>
  <c r="AH16" i="1"/>
  <c r="AH11" i="1"/>
  <c r="AG7" i="1"/>
  <c r="AG8" i="1" s="1"/>
  <c r="AC79" i="1"/>
  <c r="AC76" i="1"/>
  <c r="AD18" i="1"/>
  <c r="AD19" i="1" s="1"/>
  <c r="AD41" i="1"/>
  <c r="AQ1" i="1"/>
  <c r="AH25" i="1"/>
  <c r="AC115" i="1"/>
  <c r="AC116" i="1"/>
  <c r="AC118" i="1"/>
  <c r="AC119" i="1"/>
  <c r="AG3" i="1"/>
  <c r="AG4" i="1" s="1"/>
  <c r="AD65" i="1" l="1"/>
  <c r="AE64" i="1"/>
  <c r="AC46" i="1"/>
  <c r="AC48" i="1" s="1"/>
  <c r="AI27" i="1"/>
  <c r="AI28" i="1"/>
  <c r="AE105" i="1"/>
  <c r="AE106" i="1"/>
  <c r="AI10" i="1"/>
  <c r="AH5" i="1"/>
  <c r="AH6" i="1" s="1"/>
  <c r="AD118" i="1"/>
  <c r="AD119" i="1"/>
  <c r="AD116" i="1"/>
  <c r="AD115" i="1"/>
  <c r="AH13" i="1"/>
  <c r="AI37" i="1"/>
  <c r="AE18" i="1"/>
  <c r="AE19" i="1" s="1"/>
  <c r="AE41" i="1"/>
  <c r="AI25" i="1"/>
  <c r="AG15" i="1"/>
  <c r="AG20" i="1" s="1"/>
  <c r="AI26" i="1"/>
  <c r="AE68" i="1"/>
  <c r="AE71" i="1"/>
  <c r="AD79" i="1"/>
  <c r="AD76" i="1"/>
  <c r="AE117" i="1"/>
  <c r="AE114" i="1"/>
  <c r="AD43" i="1"/>
  <c r="AD42" i="1"/>
  <c r="AD44" i="1"/>
  <c r="AD45" i="1"/>
  <c r="AF101" i="1"/>
  <c r="AF104" i="1" s="1"/>
  <c r="AF67" i="1"/>
  <c r="AF59" i="1"/>
  <c r="AF60" i="1" s="1"/>
  <c r="AF107" i="1"/>
  <c r="AF109" i="1" s="1"/>
  <c r="AF30" i="1"/>
  <c r="AF29" i="1"/>
  <c r="AF32" i="1"/>
  <c r="AF31" i="1"/>
  <c r="AB48" i="1"/>
  <c r="AB47" i="1"/>
  <c r="AB50" i="1"/>
  <c r="AB49" i="1"/>
  <c r="AH3" i="1"/>
  <c r="AH4" i="1" s="1"/>
  <c r="AE66" i="1"/>
  <c r="AE65" i="1"/>
  <c r="AR1" i="1"/>
  <c r="AF12" i="1"/>
  <c r="AC77" i="1"/>
  <c r="AC78" i="1"/>
  <c r="AI11" i="1"/>
  <c r="AH7" i="1"/>
  <c r="AH8" i="1" s="1"/>
  <c r="AJ17" i="1"/>
  <c r="AI16" i="1"/>
  <c r="AC80" i="1"/>
  <c r="AC81" i="1"/>
  <c r="AC47" i="1" l="1"/>
  <c r="AC49" i="1"/>
  <c r="AC50" i="1"/>
  <c r="AG101" i="1"/>
  <c r="AG104" i="1" s="1"/>
  <c r="AG32" i="1"/>
  <c r="AG30" i="1"/>
  <c r="AG107" i="1"/>
  <c r="AG109" i="1" s="1"/>
  <c r="AG67" i="1"/>
  <c r="AG59" i="1"/>
  <c r="AG60" i="1" s="1"/>
  <c r="AG31" i="1"/>
  <c r="AG29" i="1"/>
  <c r="AH15" i="1"/>
  <c r="AH20" i="1" s="1"/>
  <c r="AH12" i="1" s="1"/>
  <c r="AF105" i="1"/>
  <c r="AF106" i="1"/>
  <c r="AD78" i="1"/>
  <c r="AD77" i="1"/>
  <c r="AJ37" i="1"/>
  <c r="AI13" i="1"/>
  <c r="AG12" i="1"/>
  <c r="AK17" i="1"/>
  <c r="AJ16" i="1"/>
  <c r="AS1" i="1"/>
  <c r="AD80" i="1"/>
  <c r="AD81" i="1"/>
  <c r="AE45" i="1"/>
  <c r="AE43" i="1"/>
  <c r="AE44" i="1"/>
  <c r="AE42" i="1"/>
  <c r="AJ28" i="1"/>
  <c r="AF64" i="1"/>
  <c r="AJ27" i="1"/>
  <c r="AF117" i="1"/>
  <c r="AF114" i="1"/>
  <c r="AE76" i="1"/>
  <c r="AE79" i="1"/>
  <c r="AJ25" i="1"/>
  <c r="AF18" i="1"/>
  <c r="AF19" i="1" s="1"/>
  <c r="AF41" i="1"/>
  <c r="AJ11" i="1"/>
  <c r="AI7" i="1"/>
  <c r="AI8" i="1" s="1"/>
  <c r="AJ10" i="1"/>
  <c r="AI5" i="1"/>
  <c r="AI6" i="1" s="1"/>
  <c r="AD46" i="1"/>
  <c r="AF68" i="1"/>
  <c r="AF71" i="1"/>
  <c r="AE116" i="1"/>
  <c r="AE115" i="1"/>
  <c r="AJ26" i="1"/>
  <c r="AI3" i="1"/>
  <c r="AI4" i="1" s="1"/>
  <c r="AE118" i="1"/>
  <c r="AE119" i="1"/>
  <c r="AG68" i="1" l="1"/>
  <c r="AG71" i="1"/>
  <c r="AL17" i="1"/>
  <c r="AK16" i="1"/>
  <c r="AG114" i="1"/>
  <c r="AG117" i="1"/>
  <c r="AG64" i="1"/>
  <c r="AD47" i="1"/>
  <c r="AD48" i="1"/>
  <c r="AD49" i="1"/>
  <c r="AD50" i="1"/>
  <c r="AK28" i="1"/>
  <c r="AK26" i="1"/>
  <c r="AK27" i="1"/>
  <c r="AE46" i="1"/>
  <c r="AG18" i="1"/>
  <c r="AG19" i="1" s="1"/>
  <c r="AG41" i="1"/>
  <c r="AH101" i="1"/>
  <c r="AH104" i="1" s="1"/>
  <c r="AH30" i="1"/>
  <c r="AH31" i="1"/>
  <c r="AH107" i="1"/>
  <c r="AH109" i="1" s="1"/>
  <c r="AH59" i="1"/>
  <c r="AH60" i="1" s="1"/>
  <c r="AH32" i="1"/>
  <c r="AH67" i="1"/>
  <c r="AH29" i="1"/>
  <c r="AK11" i="1"/>
  <c r="AJ7" i="1"/>
  <c r="AJ8" i="1" s="1"/>
  <c r="AE78" i="1"/>
  <c r="AE77" i="1"/>
  <c r="AK10" i="1"/>
  <c r="AJ5" i="1"/>
  <c r="AJ6" i="1" s="1"/>
  <c r="AK25" i="1"/>
  <c r="AF42" i="1"/>
  <c r="AF45" i="1"/>
  <c r="AF43" i="1"/>
  <c r="AF44" i="1"/>
  <c r="AT1" i="1"/>
  <c r="AJ3" i="1"/>
  <c r="AJ4" i="1" s="1"/>
  <c r="AI15" i="1"/>
  <c r="AI20" i="1" s="1"/>
  <c r="AK37" i="1"/>
  <c r="AJ13" i="1"/>
  <c r="AF65" i="1"/>
  <c r="AF66" i="1"/>
  <c r="AE80" i="1"/>
  <c r="AE81" i="1"/>
  <c r="AG106" i="1"/>
  <c r="AG105" i="1"/>
  <c r="AF76" i="1"/>
  <c r="AF79" i="1"/>
  <c r="AF115" i="1"/>
  <c r="AF116" i="1"/>
  <c r="AF118" i="1"/>
  <c r="AF119" i="1"/>
  <c r="AF46" i="1" l="1"/>
  <c r="AF48" i="1" s="1"/>
  <c r="AH106" i="1"/>
  <c r="AH105" i="1"/>
  <c r="AK3" i="1"/>
  <c r="AK4" i="1" s="1"/>
  <c r="AH68" i="1"/>
  <c r="AH71" i="1"/>
  <c r="AG119" i="1"/>
  <c r="AG118" i="1"/>
  <c r="AK13" i="1"/>
  <c r="AL37" i="1"/>
  <c r="AU1" i="1"/>
  <c r="AG115" i="1"/>
  <c r="AG116" i="1"/>
  <c r="AL11" i="1"/>
  <c r="AK7" i="1"/>
  <c r="AK8" i="1" s="1"/>
  <c r="AI107" i="1"/>
  <c r="AI109" i="1" s="1"/>
  <c r="AI67" i="1"/>
  <c r="AI31" i="1"/>
  <c r="AI59" i="1"/>
  <c r="AI60" i="1" s="1"/>
  <c r="AI101" i="1"/>
  <c r="AI104" i="1" s="1"/>
  <c r="AI30" i="1"/>
  <c r="AI29" i="1"/>
  <c r="AI32" i="1"/>
  <c r="AL28" i="1"/>
  <c r="AH64" i="1"/>
  <c r="AL26" i="1"/>
  <c r="AI12" i="1"/>
  <c r="AJ15" i="1"/>
  <c r="AJ20" i="1" s="1"/>
  <c r="AH18" i="1"/>
  <c r="AH19" i="1" s="1"/>
  <c r="AH41" i="1"/>
  <c r="AL10" i="1"/>
  <c r="AK5" i="1"/>
  <c r="AK6" i="1" s="1"/>
  <c r="AH117" i="1"/>
  <c r="AH114" i="1"/>
  <c r="AE47" i="1"/>
  <c r="AE48" i="1"/>
  <c r="AE50" i="1"/>
  <c r="AE49" i="1"/>
  <c r="AM17" i="1"/>
  <c r="AL16" i="1"/>
  <c r="AF81" i="1"/>
  <c r="AF80" i="1"/>
  <c r="AG66" i="1"/>
  <c r="AG65" i="1"/>
  <c r="AL25" i="1"/>
  <c r="AF77" i="1"/>
  <c r="AF78" i="1"/>
  <c r="AG42" i="1"/>
  <c r="AG43" i="1"/>
  <c r="AG45" i="1"/>
  <c r="AG44" i="1"/>
  <c r="AL27" i="1"/>
  <c r="AG76" i="1"/>
  <c r="AG79" i="1"/>
  <c r="AI64" i="1" l="1"/>
  <c r="AI66" i="1" s="1"/>
  <c r="AF49" i="1"/>
  <c r="AF50" i="1"/>
  <c r="AF47" i="1"/>
  <c r="AK15" i="1"/>
  <c r="AK20" i="1" s="1"/>
  <c r="AK12" i="1" s="1"/>
  <c r="AM25" i="1"/>
  <c r="AH43" i="1"/>
  <c r="AH45" i="1"/>
  <c r="AH44" i="1"/>
  <c r="AH42" i="1"/>
  <c r="AJ107" i="1"/>
  <c r="AJ109" i="1" s="1"/>
  <c r="AJ67" i="1"/>
  <c r="AJ59" i="1"/>
  <c r="AJ60" i="1" s="1"/>
  <c r="AJ31" i="1"/>
  <c r="AJ101" i="1"/>
  <c r="AJ104" i="1" s="1"/>
  <c r="AJ30" i="1"/>
  <c r="AJ29" i="1"/>
  <c r="AJ32" i="1"/>
  <c r="AG46" i="1"/>
  <c r="AJ12" i="1"/>
  <c r="AM28" i="1"/>
  <c r="AH76" i="1"/>
  <c r="AH79" i="1"/>
  <c r="AM10" i="1"/>
  <c r="AL5" i="1"/>
  <c r="AL6" i="1" s="1"/>
  <c r="AI117" i="1"/>
  <c r="AI114" i="1"/>
  <c r="AM27" i="1"/>
  <c r="AH66" i="1"/>
  <c r="AH65" i="1"/>
  <c r="AM26" i="1"/>
  <c r="AI106" i="1"/>
  <c r="AI105" i="1"/>
  <c r="AM11" i="1"/>
  <c r="AL7" i="1"/>
  <c r="AL8" i="1" s="1"/>
  <c r="AG80" i="1"/>
  <c r="AG81" i="1"/>
  <c r="AL3" i="1"/>
  <c r="AL4" i="1" s="1"/>
  <c r="AG77" i="1"/>
  <c r="AG78" i="1"/>
  <c r="AI18" i="1"/>
  <c r="AI19" i="1" s="1"/>
  <c r="AI41" i="1"/>
  <c r="AN17" i="1"/>
  <c r="AM16" i="1"/>
  <c r="AH115" i="1"/>
  <c r="AH116" i="1"/>
  <c r="AH118" i="1"/>
  <c r="AH119" i="1"/>
  <c r="AI68" i="1"/>
  <c r="AI71" i="1"/>
  <c r="AL13" i="1"/>
  <c r="AM37" i="1"/>
  <c r="AI65" i="1" l="1"/>
  <c r="AH46" i="1"/>
  <c r="AH47" i="1" s="1"/>
  <c r="AJ64" i="1"/>
  <c r="AJ66" i="1" s="1"/>
  <c r="AJ105" i="1"/>
  <c r="AJ106" i="1"/>
  <c r="AI79" i="1"/>
  <c r="AI76" i="1"/>
  <c r="AG49" i="1"/>
  <c r="AG47" i="1"/>
  <c r="AG50" i="1"/>
  <c r="AG48" i="1"/>
  <c r="AN25" i="1"/>
  <c r="AN11" i="1"/>
  <c r="AM7" i="1"/>
  <c r="AM8" i="1" s="1"/>
  <c r="AL15" i="1"/>
  <c r="AL20" i="1" s="1"/>
  <c r="AL12" i="1" s="1"/>
  <c r="AN27" i="1"/>
  <c r="AI118" i="1"/>
  <c r="AI119" i="1"/>
  <c r="AI43" i="1"/>
  <c r="AI45" i="1"/>
  <c r="AI42" i="1"/>
  <c r="AI44" i="1"/>
  <c r="AN26" i="1"/>
  <c r="AH81" i="1"/>
  <c r="AH80" i="1"/>
  <c r="AJ18" i="1"/>
  <c r="AJ19" i="1" s="1"/>
  <c r="AJ41" i="1"/>
  <c r="AI116" i="1"/>
  <c r="AI115" i="1"/>
  <c r="AH78" i="1"/>
  <c r="AH77" i="1"/>
  <c r="AM13" i="1"/>
  <c r="AN37" i="1"/>
  <c r="AN28" i="1"/>
  <c r="AJ114" i="1"/>
  <c r="AJ117" i="1"/>
  <c r="AN10" i="1"/>
  <c r="AM5" i="1"/>
  <c r="AM6" i="1" s="1"/>
  <c r="AO17" i="1"/>
  <c r="AN16" i="1"/>
  <c r="AK107" i="1"/>
  <c r="AK109" i="1" s="1"/>
  <c r="AK67" i="1"/>
  <c r="AK59" i="1"/>
  <c r="AK60" i="1" s="1"/>
  <c r="AK31" i="1"/>
  <c r="AK32" i="1"/>
  <c r="AK101" i="1"/>
  <c r="AK104" i="1" s="1"/>
  <c r="AK30" i="1"/>
  <c r="AK29" i="1"/>
  <c r="AM3" i="1"/>
  <c r="AM4" i="1" s="1"/>
  <c r="AJ68" i="1"/>
  <c r="AJ71" i="1"/>
  <c r="AJ65" i="1" l="1"/>
  <c r="AH49" i="1"/>
  <c r="AH48" i="1"/>
  <c r="AH50" i="1"/>
  <c r="AN13" i="1"/>
  <c r="AO37" i="1"/>
  <c r="AO11" i="1"/>
  <c r="AN7" i="1"/>
  <c r="AN8" i="1" s="1"/>
  <c r="AK18" i="1"/>
  <c r="AK19" i="1" s="1"/>
  <c r="AK41" i="1"/>
  <c r="AJ116" i="1"/>
  <c r="AJ115" i="1"/>
  <c r="AI46" i="1"/>
  <c r="AI81" i="1"/>
  <c r="AI80" i="1"/>
  <c r="AJ79" i="1"/>
  <c r="AJ76" i="1"/>
  <c r="AL67" i="1"/>
  <c r="AL59" i="1"/>
  <c r="AL60" i="1" s="1"/>
  <c r="AL101" i="1"/>
  <c r="AL104" i="1" s="1"/>
  <c r="AL31" i="1"/>
  <c r="AL107" i="1"/>
  <c r="AL109" i="1" s="1"/>
  <c r="AL32" i="1"/>
  <c r="AL30" i="1"/>
  <c r="AL29" i="1"/>
  <c r="AK106" i="1"/>
  <c r="AK105" i="1"/>
  <c r="AK117" i="1"/>
  <c r="AK114" i="1"/>
  <c r="AJ119" i="1"/>
  <c r="AJ118" i="1"/>
  <c r="AJ42" i="1"/>
  <c r="AJ45" i="1"/>
  <c r="AJ44" i="1"/>
  <c r="AJ43" i="1"/>
  <c r="AN3" i="1"/>
  <c r="AN4" i="1" s="1"/>
  <c r="AP17" i="1"/>
  <c r="AO16" i="1"/>
  <c r="AO28" i="1"/>
  <c r="AI78" i="1"/>
  <c r="AI77" i="1"/>
  <c r="AM15" i="1"/>
  <c r="AM20" i="1" s="1"/>
  <c r="AO25" i="1"/>
  <c r="AO27" i="1"/>
  <c r="AK68" i="1"/>
  <c r="AK71" i="1"/>
  <c r="AO10" i="1"/>
  <c r="AN5" i="1"/>
  <c r="AN6" i="1" s="1"/>
  <c r="AO26" i="1"/>
  <c r="AK64" i="1"/>
  <c r="AL106" i="1" l="1"/>
  <c r="AL105" i="1"/>
  <c r="AP26" i="1"/>
  <c r="AL68" i="1"/>
  <c r="AL71" i="1"/>
  <c r="AP37" i="1"/>
  <c r="AO13" i="1"/>
  <c r="AK119" i="1"/>
  <c r="AK118" i="1"/>
  <c r="AQ17" i="1"/>
  <c r="AP16" i="1"/>
  <c r="AK43" i="1"/>
  <c r="AK44" i="1"/>
  <c r="AK42" i="1"/>
  <c r="AK45" i="1"/>
  <c r="AP11" i="1"/>
  <c r="AO7" i="1"/>
  <c r="AO8" i="1" s="1"/>
  <c r="AP28" i="1"/>
  <c r="AJ80" i="1"/>
  <c r="AJ81" i="1"/>
  <c r="AI49" i="1"/>
  <c r="AI48" i="1"/>
  <c r="AI50" i="1"/>
  <c r="AI47" i="1"/>
  <c r="AK115" i="1"/>
  <c r="AK116" i="1"/>
  <c r="AO3" i="1"/>
  <c r="AO4" i="1" s="1"/>
  <c r="AN15" i="1"/>
  <c r="AN20" i="1" s="1"/>
  <c r="AM67" i="1"/>
  <c r="AM101" i="1"/>
  <c r="AM104" i="1" s="1"/>
  <c r="AM31" i="1"/>
  <c r="AM107" i="1"/>
  <c r="AM109" i="1" s="1"/>
  <c r="AM59" i="1"/>
  <c r="AM60" i="1" s="1"/>
  <c r="AM29" i="1"/>
  <c r="AM30" i="1"/>
  <c r="AM32" i="1"/>
  <c r="AM12" i="1"/>
  <c r="AP10" i="1"/>
  <c r="AO5" i="1"/>
  <c r="AO6" i="1" s="1"/>
  <c r="AK79" i="1"/>
  <c r="AK76" i="1"/>
  <c r="AP25" i="1"/>
  <c r="AJ78" i="1"/>
  <c r="AJ77" i="1"/>
  <c r="AL18" i="1"/>
  <c r="AL19" i="1" s="1"/>
  <c r="AL41" i="1"/>
  <c r="AJ46" i="1"/>
  <c r="AP27" i="1"/>
  <c r="AL64" i="1"/>
  <c r="AL117" i="1"/>
  <c r="AL114" i="1"/>
  <c r="AK65" i="1"/>
  <c r="AK66" i="1"/>
  <c r="AK46" i="1" l="1"/>
  <c r="AK50" i="1" s="1"/>
  <c r="AJ49" i="1"/>
  <c r="AJ50" i="1"/>
  <c r="AJ48" i="1"/>
  <c r="AJ47" i="1"/>
  <c r="AL119" i="1"/>
  <c r="AL118" i="1"/>
  <c r="AM68" i="1"/>
  <c r="AM71" i="1"/>
  <c r="AL65" i="1"/>
  <c r="AL66" i="1"/>
  <c r="AK81" i="1"/>
  <c r="AK80" i="1"/>
  <c r="AO15" i="1"/>
  <c r="AO20" i="1" s="1"/>
  <c r="AO12" i="1" s="1"/>
  <c r="AQ11" i="1"/>
  <c r="AP7" i="1"/>
  <c r="AP8" i="1" s="1"/>
  <c r="AK78" i="1"/>
  <c r="AK77" i="1"/>
  <c r="AM64" i="1"/>
  <c r="AQ25" i="1"/>
  <c r="AQ10" i="1"/>
  <c r="AP5" i="1"/>
  <c r="AP6" i="1" s="1"/>
  <c r="AQ28" i="1"/>
  <c r="AM106" i="1"/>
  <c r="AM105" i="1"/>
  <c r="AL79" i="1"/>
  <c r="AL76" i="1"/>
  <c r="AM117" i="1"/>
  <c r="AM114" i="1"/>
  <c r="AL116" i="1"/>
  <c r="AL115" i="1"/>
  <c r="AN67" i="1"/>
  <c r="AN101" i="1"/>
  <c r="AN104" i="1" s="1"/>
  <c r="AN59" i="1"/>
  <c r="AN60" i="1" s="1"/>
  <c r="AN107" i="1"/>
  <c r="AN109" i="1" s="1"/>
  <c r="AN29" i="1"/>
  <c r="AN30" i="1"/>
  <c r="AN31" i="1"/>
  <c r="AN32" i="1"/>
  <c r="AQ27" i="1"/>
  <c r="AQ37" i="1"/>
  <c r="AP13" i="1"/>
  <c r="AQ26" i="1"/>
  <c r="AN12" i="1"/>
  <c r="AP3" i="1"/>
  <c r="AP4" i="1" s="1"/>
  <c r="AM18" i="1"/>
  <c r="AM19" i="1" s="1"/>
  <c r="AM41" i="1"/>
  <c r="AL43" i="1"/>
  <c r="AL45" i="1"/>
  <c r="AL42" i="1"/>
  <c r="AL44" i="1"/>
  <c r="AR17" i="1"/>
  <c r="AQ16" i="1"/>
  <c r="AK49" i="1" l="1"/>
  <c r="AK48" i="1"/>
  <c r="AK47" i="1"/>
  <c r="AN64" i="1"/>
  <c r="AN66" i="1" s="1"/>
  <c r="AN68" i="1"/>
  <c r="AN71" i="1"/>
  <c r="AL78" i="1"/>
  <c r="AL77" i="1"/>
  <c r="AN18" i="1"/>
  <c r="AN19" i="1" s="1"/>
  <c r="AN41" i="1"/>
  <c r="AM79" i="1"/>
  <c r="AM76" i="1"/>
  <c r="AM119" i="1"/>
  <c r="AM118" i="1"/>
  <c r="AL80" i="1"/>
  <c r="AL81" i="1"/>
  <c r="AN114" i="1"/>
  <c r="AN117" i="1"/>
  <c r="AO107" i="1"/>
  <c r="AO109" i="1" s="1"/>
  <c r="AO67" i="1"/>
  <c r="AO59" i="1"/>
  <c r="AO60" i="1" s="1"/>
  <c r="AO101" i="1"/>
  <c r="AO104" i="1" s="1"/>
  <c r="AO30" i="1"/>
  <c r="AO31" i="1"/>
  <c r="AO32" i="1"/>
  <c r="AO29" i="1"/>
  <c r="AM65" i="1"/>
  <c r="AM66" i="1"/>
  <c r="AP15" i="1"/>
  <c r="AP20" i="1" s="1"/>
  <c r="AP12" i="1" s="1"/>
  <c r="AQ3" i="1"/>
  <c r="AQ4" i="1" s="1"/>
  <c r="AR26" i="1"/>
  <c r="AS26" i="1" s="1"/>
  <c r="AT26" i="1" s="1"/>
  <c r="AU26" i="1" s="1"/>
  <c r="AR28" i="1"/>
  <c r="AS28" i="1" s="1"/>
  <c r="AT28" i="1" s="1"/>
  <c r="AU28" i="1" s="1"/>
  <c r="AR11" i="1"/>
  <c r="AQ7" i="1"/>
  <c r="AQ8" i="1" s="1"/>
  <c r="AN106" i="1"/>
  <c r="AN105" i="1"/>
  <c r="AL46" i="1"/>
  <c r="AR27" i="1"/>
  <c r="AS27" i="1" s="1"/>
  <c r="AT27" i="1" s="1"/>
  <c r="AU27" i="1" s="1"/>
  <c r="AM115" i="1"/>
  <c r="AM116" i="1"/>
  <c r="AS17" i="1"/>
  <c r="AR16" i="1"/>
  <c r="AR10" i="1"/>
  <c r="AQ5" i="1"/>
  <c r="AQ6" i="1" s="1"/>
  <c r="AM44" i="1"/>
  <c r="AM42" i="1"/>
  <c r="AM45" i="1"/>
  <c r="AM43" i="1"/>
  <c r="AR37" i="1"/>
  <c r="AQ13" i="1"/>
  <c r="AR25" i="1"/>
  <c r="AN65" i="1" l="1"/>
  <c r="AO64" i="1"/>
  <c r="AO66" i="1" s="1"/>
  <c r="AO106" i="1"/>
  <c r="AO105" i="1"/>
  <c r="AT17" i="1"/>
  <c r="AS16" i="1"/>
  <c r="AS25" i="1"/>
  <c r="AR3" i="1"/>
  <c r="AR4" i="1" s="1"/>
  <c r="AO65" i="1"/>
  <c r="AO114" i="1"/>
  <c r="AO117" i="1"/>
  <c r="AM78" i="1"/>
  <c r="AM77" i="1"/>
  <c r="AM81" i="1"/>
  <c r="AM80" i="1"/>
  <c r="AO18" i="1"/>
  <c r="AO19" i="1" s="1"/>
  <c r="AO41" i="1"/>
  <c r="AL49" i="1"/>
  <c r="AL48" i="1"/>
  <c r="AL47" i="1"/>
  <c r="AL50" i="1"/>
  <c r="AR13" i="1"/>
  <c r="AS37" i="1"/>
  <c r="AO68" i="1"/>
  <c r="AO71" i="1"/>
  <c r="AN76" i="1"/>
  <c r="AN79" i="1"/>
  <c r="AM46" i="1"/>
  <c r="AN42" i="1"/>
  <c r="AN45" i="1"/>
  <c r="AN44" i="1"/>
  <c r="AN43" i="1"/>
  <c r="AQ15" i="1"/>
  <c r="AQ20" i="1" s="1"/>
  <c r="AQ12" i="1" s="1"/>
  <c r="AP59" i="1"/>
  <c r="AP60" i="1" s="1"/>
  <c r="AP107" i="1"/>
  <c r="AP109" i="1" s="1"/>
  <c r="AP32" i="1"/>
  <c r="AP101" i="1"/>
  <c r="AP104" i="1" s="1"/>
  <c r="AP29" i="1"/>
  <c r="AP67" i="1"/>
  <c r="AP31" i="1"/>
  <c r="AP30" i="1"/>
  <c r="AN118" i="1"/>
  <c r="AN119" i="1"/>
  <c r="AN116" i="1"/>
  <c r="AN115" i="1"/>
  <c r="AS11" i="1"/>
  <c r="AR7" i="1"/>
  <c r="AR8" i="1" s="1"/>
  <c r="AS10" i="1"/>
  <c r="AR5" i="1"/>
  <c r="AR6" i="1" s="1"/>
  <c r="AP64" i="1" l="1"/>
  <c r="AP65" i="1" s="1"/>
  <c r="AP106" i="1"/>
  <c r="AP105" i="1"/>
  <c r="AO119" i="1"/>
  <c r="AO118" i="1"/>
  <c r="AN77" i="1"/>
  <c r="AN78" i="1"/>
  <c r="AT11" i="1"/>
  <c r="AS7" i="1"/>
  <c r="AS8" i="1" s="1"/>
  <c r="AO79" i="1"/>
  <c r="AO76" i="1"/>
  <c r="AS13" i="1"/>
  <c r="AT37" i="1"/>
  <c r="AT25" i="1"/>
  <c r="AP68" i="1"/>
  <c r="AP71" i="1"/>
  <c r="AP18" i="1"/>
  <c r="AP19" i="1" s="1"/>
  <c r="AP41" i="1"/>
  <c r="AR15" i="1"/>
  <c r="AR20" i="1" s="1"/>
  <c r="AR12" i="1" s="1"/>
  <c r="AQ101" i="1"/>
  <c r="AQ104" i="1" s="1"/>
  <c r="AQ107" i="1"/>
  <c r="AQ109" i="1" s="1"/>
  <c r="AQ59" i="1"/>
  <c r="AQ60" i="1" s="1"/>
  <c r="AQ32" i="1"/>
  <c r="AQ67" i="1"/>
  <c r="AQ31" i="1"/>
  <c r="AQ29" i="1"/>
  <c r="AQ30" i="1"/>
  <c r="AO116" i="1"/>
  <c r="AO115" i="1"/>
  <c r="AU17" i="1"/>
  <c r="AT16" i="1"/>
  <c r="AT10" i="1"/>
  <c r="AS5" i="1"/>
  <c r="AS6" i="1" s="1"/>
  <c r="AN46" i="1"/>
  <c r="AM47" i="1"/>
  <c r="AM49" i="1"/>
  <c r="AM48" i="1"/>
  <c r="AM50" i="1"/>
  <c r="AO42" i="1"/>
  <c r="AO43" i="1"/>
  <c r="AO45" i="1"/>
  <c r="AO44" i="1"/>
  <c r="AP114" i="1"/>
  <c r="AP117" i="1"/>
  <c r="AN81" i="1"/>
  <c r="AN80" i="1"/>
  <c r="AS3" i="1"/>
  <c r="AS4" i="1" s="1"/>
  <c r="AO46" i="1" l="1"/>
  <c r="AO49" i="1" s="1"/>
  <c r="AP66" i="1"/>
  <c r="AQ106" i="1"/>
  <c r="AQ105" i="1"/>
  <c r="AU16" i="1"/>
  <c r="AU25" i="1"/>
  <c r="AP119" i="1"/>
  <c r="AP118" i="1"/>
  <c r="AQ18" i="1"/>
  <c r="AQ19" i="1" s="1"/>
  <c r="AQ41" i="1"/>
  <c r="AU37" i="1"/>
  <c r="AT13" i="1"/>
  <c r="AP115" i="1"/>
  <c r="AP116" i="1"/>
  <c r="AS15" i="1"/>
  <c r="AS20" i="1" s="1"/>
  <c r="AS12" i="1" s="1"/>
  <c r="AO78" i="1"/>
  <c r="AO77" i="1"/>
  <c r="AT3" i="1"/>
  <c r="AT4" i="1" s="1"/>
  <c r="AQ117" i="1"/>
  <c r="AQ114" i="1"/>
  <c r="AP45" i="1"/>
  <c r="AP42" i="1"/>
  <c r="AP44" i="1"/>
  <c r="AP43" i="1"/>
  <c r="AQ64" i="1"/>
  <c r="AU10" i="1"/>
  <c r="AT5" i="1"/>
  <c r="AT6" i="1" s="1"/>
  <c r="AQ68" i="1"/>
  <c r="AQ71" i="1"/>
  <c r="AO80" i="1"/>
  <c r="AO81" i="1"/>
  <c r="AP76" i="1"/>
  <c r="AP79" i="1"/>
  <c r="AU11" i="1"/>
  <c r="AT7" i="1"/>
  <c r="AT8" i="1" s="1"/>
  <c r="AR107" i="1"/>
  <c r="AR109" i="1" s="1"/>
  <c r="AR101" i="1"/>
  <c r="AR104" i="1" s="1"/>
  <c r="AR59" i="1"/>
  <c r="AR60" i="1" s="1"/>
  <c r="AR32" i="1"/>
  <c r="AR29" i="1"/>
  <c r="AR30" i="1"/>
  <c r="AR67" i="1"/>
  <c r="AR31" i="1"/>
  <c r="AN48" i="1"/>
  <c r="AN47" i="1"/>
  <c r="AN49" i="1"/>
  <c r="AN50" i="1"/>
  <c r="AO48" i="1" l="1"/>
  <c r="AO50" i="1"/>
  <c r="AO47" i="1"/>
  <c r="AR64" i="1"/>
  <c r="AR66" i="1" s="1"/>
  <c r="AP46" i="1"/>
  <c r="AP49" i="1" s="1"/>
  <c r="AR105" i="1"/>
  <c r="AR106" i="1"/>
  <c r="AU13" i="1"/>
  <c r="AQ43" i="1"/>
  <c r="AQ45" i="1"/>
  <c r="AQ44" i="1"/>
  <c r="AQ42" i="1"/>
  <c r="AR18" i="1"/>
  <c r="AR19" i="1" s="1"/>
  <c r="AR41" i="1"/>
  <c r="AU7" i="1"/>
  <c r="AU8" i="1" s="1"/>
  <c r="AP80" i="1"/>
  <c r="AP81" i="1"/>
  <c r="AP78" i="1"/>
  <c r="AP77" i="1"/>
  <c r="AS101" i="1"/>
  <c r="AS104" i="1" s="1"/>
  <c r="AS59" i="1"/>
  <c r="AS60" i="1" s="1"/>
  <c r="AS107" i="1"/>
  <c r="AS109" i="1" s="1"/>
  <c r="AS32" i="1"/>
  <c r="AS29" i="1"/>
  <c r="AS30" i="1"/>
  <c r="AS67" i="1"/>
  <c r="AS31" i="1"/>
  <c r="AQ65" i="1"/>
  <c r="AQ66" i="1"/>
  <c r="AR114" i="1"/>
  <c r="AR117" i="1"/>
  <c r="AQ116" i="1"/>
  <c r="AQ115" i="1"/>
  <c r="AQ79" i="1"/>
  <c r="AQ76" i="1"/>
  <c r="AQ119" i="1"/>
  <c r="AQ118" i="1"/>
  <c r="AR68" i="1"/>
  <c r="AR71" i="1"/>
  <c r="AU5" i="1"/>
  <c r="AU6" i="1" s="1"/>
  <c r="AT15" i="1"/>
  <c r="AT20" i="1" s="1"/>
  <c r="AT12" i="1" s="1"/>
  <c r="AU3" i="1"/>
  <c r="AU4" i="1" s="1"/>
  <c r="AQ46" i="1" l="1"/>
  <c r="AQ47" i="1" s="1"/>
  <c r="AP50" i="1"/>
  <c r="AP47" i="1"/>
  <c r="AS64" i="1"/>
  <c r="AS65" i="1" s="1"/>
  <c r="AR65" i="1"/>
  <c r="AP48" i="1"/>
  <c r="AS105" i="1"/>
  <c r="AS106" i="1"/>
  <c r="AR79" i="1"/>
  <c r="AR76" i="1"/>
  <c r="AS114" i="1"/>
  <c r="AS117" i="1"/>
  <c r="AR45" i="1"/>
  <c r="AR44" i="1"/>
  <c r="AR43" i="1"/>
  <c r="AR42" i="1"/>
  <c r="AU15" i="1"/>
  <c r="AU20" i="1" s="1"/>
  <c r="AU12" i="1" s="1"/>
  <c r="AQ80" i="1"/>
  <c r="AQ81" i="1"/>
  <c r="AS18" i="1"/>
  <c r="AS19" i="1" s="1"/>
  <c r="AS41" i="1"/>
  <c r="AR118" i="1"/>
  <c r="AR119" i="1"/>
  <c r="AQ78" i="1"/>
  <c r="AQ77" i="1"/>
  <c r="AS68" i="1"/>
  <c r="AS71" i="1"/>
  <c r="AR115" i="1"/>
  <c r="AR116" i="1"/>
  <c r="AT107" i="1"/>
  <c r="AT109" i="1" s="1"/>
  <c r="AT59" i="1"/>
  <c r="AT60" i="1" s="1"/>
  <c r="AT32" i="1"/>
  <c r="AT29" i="1"/>
  <c r="AT101" i="1"/>
  <c r="AT104" i="1" s="1"/>
  <c r="AT67" i="1"/>
  <c r="AT31" i="1"/>
  <c r="AT30" i="1"/>
  <c r="AQ48" i="1" l="1"/>
  <c r="AQ50" i="1"/>
  <c r="AQ49" i="1"/>
  <c r="AR46" i="1"/>
  <c r="AR48" i="1" s="1"/>
  <c r="AT64" i="1"/>
  <c r="AT66" i="1" s="1"/>
  <c r="AS66" i="1"/>
  <c r="AR80" i="1"/>
  <c r="AR81" i="1"/>
  <c r="AR77" i="1"/>
  <c r="AR78" i="1"/>
  <c r="AS45" i="1"/>
  <c r="AS43" i="1"/>
  <c r="AS42" i="1"/>
  <c r="AS44" i="1"/>
  <c r="AT114" i="1"/>
  <c r="AT117" i="1"/>
  <c r="AT18" i="1"/>
  <c r="AT19" i="1" s="1"/>
  <c r="AT41" i="1"/>
  <c r="AS119" i="1"/>
  <c r="AS118" i="1"/>
  <c r="AU101" i="1"/>
  <c r="AU104" i="1" s="1"/>
  <c r="AU67" i="1"/>
  <c r="AU107" i="1"/>
  <c r="AU109" i="1" s="1"/>
  <c r="AU59" i="1"/>
  <c r="AU60" i="1" s="1"/>
  <c r="AU32" i="1"/>
  <c r="AU29" i="1"/>
  <c r="AU31" i="1"/>
  <c r="AU30" i="1"/>
  <c r="AT68" i="1"/>
  <c r="AT71" i="1"/>
  <c r="AS76" i="1"/>
  <c r="AS79" i="1"/>
  <c r="AS115" i="1"/>
  <c r="AS116" i="1"/>
  <c r="AT105" i="1"/>
  <c r="AT106" i="1"/>
  <c r="AR47" i="1" l="1"/>
  <c r="AR50" i="1"/>
  <c r="AR49" i="1"/>
  <c r="AT65" i="1"/>
  <c r="AU64" i="1"/>
  <c r="AU66" i="1" s="1"/>
  <c r="AT116" i="1"/>
  <c r="AT115" i="1"/>
  <c r="AS46" i="1"/>
  <c r="AT42" i="1"/>
  <c r="AT45" i="1"/>
  <c r="AT44" i="1"/>
  <c r="AT43" i="1"/>
  <c r="AS81" i="1"/>
  <c r="AS80" i="1"/>
  <c r="AT119" i="1"/>
  <c r="AT118" i="1"/>
  <c r="AU114" i="1"/>
  <c r="AU117" i="1"/>
  <c r="AS77" i="1"/>
  <c r="AS78" i="1"/>
  <c r="AT79" i="1"/>
  <c r="AT76" i="1"/>
  <c r="AU105" i="1"/>
  <c r="AU106" i="1"/>
  <c r="AU18" i="1"/>
  <c r="AU19" i="1" s="1"/>
  <c r="AU41" i="1"/>
  <c r="AU68" i="1"/>
  <c r="AU71" i="1"/>
  <c r="AT46" i="1" l="1"/>
  <c r="AT47" i="1" s="1"/>
  <c r="AU65" i="1"/>
  <c r="AU118" i="1"/>
  <c r="AU119" i="1"/>
  <c r="AU116" i="1"/>
  <c r="AU115" i="1"/>
  <c r="AT77" i="1"/>
  <c r="AT78" i="1"/>
  <c r="AS47" i="1"/>
  <c r="AS50" i="1"/>
  <c r="AS49" i="1"/>
  <c r="AS48" i="1"/>
  <c r="AT81" i="1"/>
  <c r="AT80" i="1"/>
  <c r="AU44" i="1"/>
  <c r="AU42" i="1"/>
  <c r="AU43" i="1"/>
  <c r="AU45" i="1"/>
  <c r="AU79" i="1"/>
  <c r="AU76" i="1"/>
  <c r="AT49" i="1" l="1"/>
  <c r="AT48" i="1"/>
  <c r="AT50" i="1"/>
  <c r="AU46" i="1"/>
  <c r="AU48" i="1" s="1"/>
  <c r="AU80" i="1"/>
  <c r="AU81" i="1"/>
  <c r="AU78" i="1"/>
  <c r="AU77" i="1"/>
  <c r="AU50" i="1" l="1"/>
  <c r="AU49" i="1"/>
  <c r="AU47" i="1"/>
</calcChain>
</file>

<file path=xl/sharedStrings.xml><?xml version="1.0" encoding="utf-8"?>
<sst xmlns="http://schemas.openxmlformats.org/spreadsheetml/2006/main" count="865" uniqueCount="609">
  <si>
    <t>top</t>
  </si>
  <si>
    <t>mid</t>
  </si>
  <si>
    <t>low</t>
  </si>
  <si>
    <t>decimal</t>
  </si>
  <si>
    <t>changeable</t>
  </si>
  <si>
    <t>변수설명</t>
  </si>
  <si>
    <t>참조지표</t>
  </si>
  <si>
    <t>Passenger Index</t>
  </si>
  <si>
    <t>Annual Passengers📝</t>
  </si>
  <si>
    <t>float0</t>
  </si>
  <si>
    <t>O</t>
  </si>
  <si>
    <t>연간여객</t>
  </si>
  <si>
    <t>International Passengers</t>
  </si>
  <si>
    <t>International여객</t>
  </si>
  <si>
    <t>Domestic Passengers</t>
  </si>
  <si>
    <t>Domestic여객</t>
  </si>
  <si>
    <t>Long_haul Passengers</t>
  </si>
  <si>
    <t>Long_haul여객</t>
  </si>
  <si>
    <t>Short_haul Passengers</t>
  </si>
  <si>
    <t>Short_haul여객</t>
  </si>
  <si>
    <t>Normal Passengers</t>
  </si>
  <si>
    <t>정규여객</t>
  </si>
  <si>
    <t>Charter Passengers</t>
  </si>
  <si>
    <t>전세기여객</t>
  </si>
  <si>
    <t>International Passengers(%)📝</t>
  </si>
  <si>
    <t>percent0</t>
  </si>
  <si>
    <t>Longhaul Passengers(%)📝</t>
  </si>
  <si>
    <t>Regular Passengers(%)📝</t>
  </si>
  <si>
    <t>Total Seats</t>
  </si>
  <si>
    <t>Average Seats Per Aircraft</t>
  </si>
  <si>
    <t>대당좌석수</t>
  </si>
  <si>
    <t>Load Factor(%)📝</t>
  </si>
  <si>
    <t>탑승율</t>
  </si>
  <si>
    <t>Average Passengers Per Aircraft</t>
  </si>
  <si>
    <t>대당여객</t>
  </si>
  <si>
    <t>Annual Transfer Passengers</t>
  </si>
  <si>
    <t>연간환승승객</t>
  </si>
  <si>
    <t>Transfer Rate(%)📝</t>
  </si>
  <si>
    <t>환승율</t>
  </si>
  <si>
    <t>Average Crew Per Aircraft</t>
  </si>
  <si>
    <t>대당승무원</t>
  </si>
  <si>
    <t>Crew Ratio(%)</t>
  </si>
  <si>
    <t>승무원비율</t>
  </si>
  <si>
    <t>Flight Index</t>
  </si>
  <si>
    <t>Annual Movements</t>
  </si>
  <si>
    <t>연간운항</t>
  </si>
  <si>
    <t>대당택싱평균</t>
  </si>
  <si>
    <t>피크시간 턴어라운드편 평균주기시간(분)</t>
  </si>
  <si>
    <t>피크시간 턴어라운드편 평균그라운드시간(분)</t>
  </si>
  <si>
    <t>턴어라운드편 평균주기시간(분)</t>
  </si>
  <si>
    <t>턴어라운드편 평균그라운드시간(분)</t>
  </si>
  <si>
    <t>(오버나잇, 소산 포함) 평균주기시간(분)</t>
  </si>
  <si>
    <t>(오버나잇, 소산 포함) 평균그라운드시간(분)</t>
  </si>
  <si>
    <t>Maximum Takeoff Weight Per Aircraft(lb)</t>
  </si>
  <si>
    <t>대당최대이륙중량</t>
  </si>
  <si>
    <t>Average Aircraft Age(months)</t>
  </si>
  <si>
    <t>대당기령(월)평균</t>
  </si>
  <si>
    <t>Average Flight Distance(km)</t>
  </si>
  <si>
    <t>비행거리평균(km)</t>
  </si>
  <si>
    <t>Payload Per Aircraft</t>
  </si>
  <si>
    <t>대당유상탑재중량</t>
  </si>
  <si>
    <t>Flight Class Index</t>
  </si>
  <si>
    <t>FleetMIx</t>
  </si>
  <si>
    <t>percent1</t>
  </si>
  <si>
    <t>Movements by Class</t>
  </si>
  <si>
    <t>MTOW by Class</t>
  </si>
  <si>
    <t>Seats by Class</t>
  </si>
  <si>
    <t>Load Factor by Class</t>
  </si>
  <si>
    <t>Load Factor Adjustment By Class</t>
  </si>
  <si>
    <t>Transfer Rate Adjustment By Class</t>
  </si>
  <si>
    <t>hbo</t>
  </si>
  <si>
    <t>Crew by Class</t>
  </si>
  <si>
    <t>Airside(ADPM)</t>
  </si>
  <si>
    <t>Movements(ADPM)</t>
  </si>
  <si>
    <t>Movement PHF(%)(ADPM)</t>
  </si>
  <si>
    <t>percent4</t>
  </si>
  <si>
    <t>ADPM/movement/all/PHF</t>
  </si>
  <si>
    <t xml:space="preserve">  - Movement H Factor(ADPM)</t>
  </si>
  <si>
    <t>float1</t>
  </si>
  <si>
    <t>ADPM/movement/all/H팩터</t>
  </si>
  <si>
    <t xml:space="preserve">  - Movement D Factor(ADPM)</t>
  </si>
  <si>
    <t>ADPM/movement/all/D팩터</t>
  </si>
  <si>
    <t>Movement PHF(%) Model(ADPM)</t>
  </si>
  <si>
    <t>모형</t>
  </si>
  <si>
    <t>Movement Model PHF / Movement PHF(ADPM)</t>
  </si>
  <si>
    <t>모형PHF / 실제 PHF</t>
  </si>
  <si>
    <t>Peak Hour Movements(ADPM)</t>
  </si>
  <si>
    <t>ADPM/movement/all/첨두시</t>
  </si>
  <si>
    <t xml:space="preserve"> - Peak Hour darture Movement(ADPM)</t>
  </si>
  <si>
    <t>ADPM/movement/d/첨두시</t>
  </si>
  <si>
    <t xml:space="preserve"> - Peak Hour aival Movement(ADPM)</t>
  </si>
  <si>
    <t>ADPM/movement/a/첨두시</t>
  </si>
  <si>
    <t>Terminal(ADPM)</t>
  </si>
  <si>
    <t>Passengers(ADPM)</t>
  </si>
  <si>
    <t>Passenger PHF(%)(ADPM)</t>
  </si>
  <si>
    <t>ADPM/total_pax/all/PHF</t>
  </si>
  <si>
    <t xml:space="preserve">  - Passenger H Factor(ADPM)</t>
  </si>
  <si>
    <t>ADPM/total_pax/all/H팩터</t>
  </si>
  <si>
    <t xml:space="preserve">  - Passenger D Factor(ADPM)</t>
  </si>
  <si>
    <t>ADPM/total_pax/all/D팩터</t>
  </si>
  <si>
    <t>Passenger PHF / Movement PHF(ADPM)</t>
  </si>
  <si>
    <t>여객PHF / 운항 PHF</t>
  </si>
  <si>
    <t>Peak Hour Passengers(ADPM)</t>
  </si>
  <si>
    <t>ADPM/total_pax/all/첨두시</t>
  </si>
  <si>
    <t xml:space="preserve"> - Peak Hour darture Passengers(ADPM)</t>
  </si>
  <si>
    <t>ADPM/total_pax/d/첨두시</t>
  </si>
  <si>
    <t xml:space="preserve"> - Peak Hour aival Passengers(ADPM)</t>
  </si>
  <si>
    <t>ADPM/total_pax/a/첨두시</t>
  </si>
  <si>
    <t>Peak Hour Seats(ADPM)</t>
  </si>
  <si>
    <t>ADPM/total_seat_count/all/첨두시</t>
  </si>
  <si>
    <t>Peak Hour Load Factor(%)(ADPM)</t>
  </si>
  <si>
    <t>첨두여객(명) / 첨두공급좌석(수)</t>
  </si>
  <si>
    <t>OD Passengers(ADPM)</t>
  </si>
  <si>
    <t>Peak Hour OD Passengers(ADPM)</t>
  </si>
  <si>
    <t>ADPM/od_pax/all/첨두시</t>
  </si>
  <si>
    <t xml:space="preserve"> - Peak Hour OD darture Passengers(ADPM)</t>
  </si>
  <si>
    <t>ADPM/od_pax/d/첨두시</t>
  </si>
  <si>
    <t xml:space="preserve"> - Peak Hour OD aival Passengers(ADPM)</t>
  </si>
  <si>
    <t>ADPM/od_pax/a/첨두시</t>
  </si>
  <si>
    <t>Transfer Passengers(ADPM)</t>
  </si>
  <si>
    <t>Peak Hour Transfer Passengers(ADPM)</t>
  </si>
  <si>
    <t>ADPM/tr_pax/all/첨두시</t>
  </si>
  <si>
    <t xml:space="preserve"> - Peak Hour Transfer darture Passnegers(ADPM)</t>
  </si>
  <si>
    <t>ADPM/tr_pax/d/첨두시</t>
  </si>
  <si>
    <t xml:space="preserve"> - Peak Hour Transfer aival Passengers(ADPM)</t>
  </si>
  <si>
    <t>ADPM/tr_pax/a/첨두시</t>
  </si>
  <si>
    <t>Crew(ADPM)</t>
  </si>
  <si>
    <t>Peak Hour Crew(ADPM)</t>
  </si>
  <si>
    <t>첨두여객(명) X 승무원비율(%)</t>
  </si>
  <si>
    <t xml:space="preserve"> - Peak Hour darture Crew(ADPM)</t>
  </si>
  <si>
    <t>첨두출발(명) X 승무원비율(%)</t>
  </si>
  <si>
    <t xml:space="preserve"> - Peak Hour aival Crew(ADPM)</t>
  </si>
  <si>
    <t>첨두도착(명) X 승무원비율(%)</t>
  </si>
  <si>
    <t>Farewell/Greeter(ADPM)</t>
  </si>
  <si>
    <t>Fareweller Rate(ADPM)</t>
  </si>
  <si>
    <t>실적조사, 경험수치 활용(여객 1인당 0.39명)</t>
  </si>
  <si>
    <t>Peak Hour Farewellers(ADPM)</t>
  </si>
  <si>
    <t>첨두OD출발 X 환송객원단위</t>
  </si>
  <si>
    <t>Greeter Rate(ADPM)</t>
  </si>
  <si>
    <t>실적조사, 경험수치 활용(여객 1인당 0.45명)</t>
  </si>
  <si>
    <t>Peak Hour Greeters(ADPM)</t>
  </si>
  <si>
    <t>첨두OD도착 X 환영객원단위</t>
  </si>
  <si>
    <t>Directional Factor(ADPM)</t>
  </si>
  <si>
    <t>Movement Directional Factor(ADPM)</t>
  </si>
  <si>
    <t>darture Movement Directional Factor(%)(ADPM)</t>
  </si>
  <si>
    <t>ADPM/movement/d/중방향계수</t>
  </si>
  <si>
    <t>aival Movement Directional Factor(%)(ADPM)</t>
  </si>
  <si>
    <t>ADPM/movement/a/중방향계수</t>
  </si>
  <si>
    <t>Passenger Directional Factor(ADPM)</t>
  </si>
  <si>
    <t>OD Ratio(%)(ADPM)</t>
  </si>
  <si>
    <t>ADPM/od_pax/all/중방향계수</t>
  </si>
  <si>
    <t>OD darture Passenger Directional Factor(%)(ADPM)</t>
  </si>
  <si>
    <t>ADPM/od_pax/d/중방향계수</t>
  </si>
  <si>
    <t>OD aival Passenger Directional Factor(%)(ADPM)</t>
  </si>
  <si>
    <t>ADPM/od_pax/a/중방향계수</t>
  </si>
  <si>
    <t>Transfer Ratio(%)(ADPM)</t>
  </si>
  <si>
    <t>ADPM/tr_pax/all/중방향계수</t>
  </si>
  <si>
    <t>Transfer darture Passenger Directional Factor(%)(ADPM)</t>
  </si>
  <si>
    <t>ADPM/tr_pax/d/중방향계수</t>
  </si>
  <si>
    <t>Transfer aival Passenger Directional Factor(%)(ADPM)</t>
  </si>
  <si>
    <t>ADPM/tr_pax/a/중방향계수</t>
  </si>
  <si>
    <t>Airside(SBR)</t>
  </si>
  <si>
    <t>Movements(SBR)</t>
  </si>
  <si>
    <t>Movement PHF(%)(SBR)</t>
  </si>
  <si>
    <t>SBR/movement/all/PHF</t>
  </si>
  <si>
    <t>Movement PHF(%) Model(SBR)</t>
  </si>
  <si>
    <t>Movement Model PHF / Movement PHF(SBR)</t>
  </si>
  <si>
    <t>Peak Hour Movements(SBR)</t>
  </si>
  <si>
    <t>SBR/movement/all/첨두시</t>
  </si>
  <si>
    <t xml:space="preserve"> - Peak Hour darture Movement(SBR)</t>
  </si>
  <si>
    <t>SBR/movement/d/첨두시</t>
  </si>
  <si>
    <t xml:space="preserve"> - Peak Hour aival Movement(SBR)</t>
  </si>
  <si>
    <t>SBR/movement/a/첨두시</t>
  </si>
  <si>
    <t>Terminal(SBR)</t>
  </si>
  <si>
    <t>Passengers(SBR)</t>
  </si>
  <si>
    <t>Passenger PHF(%)(SBR)</t>
  </si>
  <si>
    <t>SBR/total_pax/all/PHF</t>
  </si>
  <si>
    <t>Passenger PHF / Movement PHF(SBR)</t>
  </si>
  <si>
    <t>Peak Hour Passengers(SBR)</t>
  </si>
  <si>
    <t>SBR/total_pax/all/첨두시</t>
  </si>
  <si>
    <t xml:space="preserve"> - Peak Hour darture Passengers(SBR)</t>
  </si>
  <si>
    <t>SBR/total_pax/d/첨두시</t>
  </si>
  <si>
    <t xml:space="preserve"> - Peak Hour aival Passengers(SBR)</t>
  </si>
  <si>
    <t>SBR/total_pax/a/첨두시</t>
  </si>
  <si>
    <t>Peak Hour Seats(SBR)</t>
  </si>
  <si>
    <t>SBR/total_seat_count/all/첨두시</t>
  </si>
  <si>
    <t>Peak Hour Load Factor(%)(SBR)</t>
  </si>
  <si>
    <t>OD Passengers(SBR)</t>
  </si>
  <si>
    <t>Peak Hour OD Passengers(SBR)</t>
  </si>
  <si>
    <t>SBR/od_pax/all/첨두시</t>
  </si>
  <si>
    <t xml:space="preserve"> - Peak Hour OD darture Passengers(SBR)</t>
  </si>
  <si>
    <t>SBR/od_pax/d/첨두시</t>
  </si>
  <si>
    <t xml:space="preserve"> - Peak Hour OD aival Passengers(SBR)</t>
  </si>
  <si>
    <t>SBR/od_pax/a/첨두시</t>
  </si>
  <si>
    <t>Transfer Passengers(SBR)</t>
  </si>
  <si>
    <t>Peak Hour Transfer Passengers(SBR)</t>
  </si>
  <si>
    <t>SBR/tr_pax/all/첨두시</t>
  </si>
  <si>
    <t xml:space="preserve"> - Peak Hour Transfer darture Passnegers(SBR)</t>
  </si>
  <si>
    <t>SBR/tr_pax/d/첨두시</t>
  </si>
  <si>
    <t xml:space="preserve"> - Peak Hour Transfer aival Passengers(SBR)</t>
  </si>
  <si>
    <t>SBR/tr_pax/a/첨두시</t>
  </si>
  <si>
    <t>Crew(SBR)</t>
  </si>
  <si>
    <t>Peak Hour Crew(SBR)</t>
  </si>
  <si>
    <t xml:space="preserve"> - Peak Hour darture Crew(SBR)</t>
  </si>
  <si>
    <t xml:space="preserve"> - Peak Hour aival Crew(SBR)</t>
  </si>
  <si>
    <t>Farewell/Greeter(SBR)</t>
  </si>
  <si>
    <t>Fareweller Rate(SBR)</t>
  </si>
  <si>
    <t>Peak Hour Farewellers(SBR)</t>
  </si>
  <si>
    <t>Greeter Rate(SBR)</t>
  </si>
  <si>
    <t>Peak Hour Greeters(SBR)</t>
  </si>
  <si>
    <t>Directional Factor(SBR)</t>
  </si>
  <si>
    <t>Movement Directional Factor(SBR)</t>
  </si>
  <si>
    <t>darture Movement Directional Factor(%)(SBR)</t>
  </si>
  <si>
    <t>aival Movement Directional Factor(%)(SBR)</t>
  </si>
  <si>
    <t>Passenger Directional Factor(SBR)</t>
  </si>
  <si>
    <t>OD darture Passenger Directional Factor(%)(SBR)</t>
  </si>
  <si>
    <t>OD aival Passenger Directional Factor(%)(SBR)</t>
  </si>
  <si>
    <t>Transfer Ratio(%)(SBR)</t>
  </si>
  <si>
    <t>Transfer darture Passenger Directional Factor(%)(SBR)</t>
  </si>
  <si>
    <t>Transfer aival Passenger Directional Factor(%)(SBR)</t>
  </si>
  <si>
    <t>(Widebody Jets급)</t>
  </si>
  <si>
    <t>(Narrowbody Jets급)</t>
  </si>
  <si>
    <t>(Regional Jets급)</t>
  </si>
  <si>
    <t>(Business Jets급)</t>
  </si>
  <si>
    <t>참조지표 제작</t>
  </si>
  <si>
    <t>Demand</t>
  </si>
  <si>
    <t>Load_Factor</t>
  </si>
  <si>
    <t>Transfer_Rate</t>
  </si>
  <si>
    <t>FleetMix_Rate</t>
  </si>
  <si>
    <t>Seats_Per_Aircraft</t>
  </si>
  <si>
    <t>Load_Factor_By_Class</t>
  </si>
  <si>
    <t>Transfer_Rate_By_Class</t>
  </si>
  <si>
    <t>Crew_Per_Aircraft</t>
  </si>
  <si>
    <t>Movement_PHF_Adjustment</t>
  </si>
  <si>
    <t>Movement_D_Factor</t>
  </si>
  <si>
    <t>Passenger_PHF_Adjustment</t>
  </si>
  <si>
    <t>Passenger_D_Factor</t>
  </si>
  <si>
    <t>Directional_Factor</t>
  </si>
  <si>
    <t>Maximum_Takeoff_Weight</t>
  </si>
  <si>
    <t>PeakTime Standing</t>
  </si>
  <si>
    <t>연간OD여객</t>
  </si>
  <si>
    <t>연간승무원</t>
  </si>
  <si>
    <t>International운항</t>
  </si>
  <si>
    <t>Domestic운항</t>
  </si>
  <si>
    <t>Long_haul운항</t>
  </si>
  <si>
    <t>Short_haul운항</t>
  </si>
  <si>
    <t>정규운항</t>
  </si>
  <si>
    <t>전세기운항</t>
  </si>
  <si>
    <t>연간수하물</t>
  </si>
  <si>
    <t>연간최대이륙중량</t>
  </si>
  <si>
    <t>연간Long_haul최대이륙중량</t>
  </si>
  <si>
    <t>연간Short_haul최대이륙중량</t>
  </si>
  <si>
    <t>연간유상탑재중량</t>
  </si>
  <si>
    <t>연간Long_haul유상탑재중량</t>
  </si>
  <si>
    <t>연간Short_haul유상탑재중량</t>
  </si>
  <si>
    <t>대당환승승객</t>
  </si>
  <si>
    <t>명당수하물</t>
  </si>
  <si>
    <t>(오버나잇, 소산 포함) 피크시간 평균주기시간(분)</t>
  </si>
  <si>
    <t>(Narrowbody Jets급)운항횟수</t>
  </si>
  <si>
    <t>(Narrowbody Jets급)혼합율</t>
  </si>
  <si>
    <t>(Narrowbody Jets급)대당좌석수</t>
  </si>
  <si>
    <t>(Narrowbody Jets급)대당여객</t>
  </si>
  <si>
    <t>(Narrowbody Jets급)탑승율</t>
  </si>
  <si>
    <t>(Narrowbody Jets급)환승율</t>
  </si>
  <si>
    <t>(Narrowbody Jets급)대당환승승객</t>
  </si>
  <si>
    <t>(Narrowbody Jets급)대당승무원</t>
  </si>
  <si>
    <t>(Narrowbody Jets급)승무원비율</t>
  </si>
  <si>
    <t>(Narrowbody Jets급)명당수하물</t>
  </si>
  <si>
    <t>(Narrowbody Jets급)대당최대이륙중량</t>
  </si>
  <si>
    <t>(Narrowbody Jets급)대당택싱평균</t>
  </si>
  <si>
    <t>(Narrowbody Jets급)비행거리평균(km)</t>
  </si>
  <si>
    <t>(Narrowbody Jets급)대당유상탑재중량</t>
  </si>
  <si>
    <t>(Widebody Jets급)운항횟수</t>
  </si>
  <si>
    <t>(Widebody Jets급)혼합율</t>
  </si>
  <si>
    <t>(Widebody Jets급)대당좌석수</t>
  </si>
  <si>
    <t>(Widebody Jets급)대당여객</t>
  </si>
  <si>
    <t>(Widebody Jets급)탑승율</t>
  </si>
  <si>
    <t>(Widebody Jets급)환승율</t>
  </si>
  <si>
    <t>(Widebody Jets급)대당환승승객</t>
  </si>
  <si>
    <t>(Widebody Jets급)대당승무원</t>
  </si>
  <si>
    <t>(Widebody Jets급)승무원비율</t>
  </si>
  <si>
    <t>(Widebody Jets급)명당수하물</t>
  </si>
  <si>
    <t>(Widebody Jets급)대당최대이륙중량</t>
  </si>
  <si>
    <t>(Widebody Jets급)대당택싱평균</t>
  </si>
  <si>
    <t>(Widebody Jets급)비행거리평균(km)</t>
  </si>
  <si>
    <t>(Widebody Jets급)대당유상탑재중량</t>
  </si>
  <si>
    <t>SBR/시작(N번째)</t>
  </si>
  <si>
    <t>SBR/종료(N번째)</t>
  </si>
  <si>
    <t>ADPM_SBR/movement/all/첨두시_N번째</t>
  </si>
  <si>
    <t>ADPM/movement/d/H팩터</t>
  </si>
  <si>
    <t>ADPM/movement/d/D팩터</t>
  </si>
  <si>
    <t>ADPM/movement/d/PHF</t>
  </si>
  <si>
    <t>SBR/movement/d/PHF</t>
  </si>
  <si>
    <t>ADPM_SBR/movement/d/첨두시_N번째</t>
  </si>
  <si>
    <t>ADPM/movement/a/H팩터</t>
  </si>
  <si>
    <t>ADPM/movement/a/D팩터</t>
  </si>
  <si>
    <t>ADPM/movement/a/PHF</t>
  </si>
  <si>
    <t>SBR/movement/a/PHF</t>
  </si>
  <si>
    <t>ADPM_SBR/movement/a/첨두시_N번째</t>
  </si>
  <si>
    <t>ADPM_SBR/total_pax/all/첨두시_N번째</t>
  </si>
  <si>
    <t>ADPM/total_pax/d/H팩터</t>
  </si>
  <si>
    <t>ADPM/total_pax/d/D팩터</t>
  </si>
  <si>
    <t>ADPM/total_pax/d/PHF</t>
  </si>
  <si>
    <t>SBR/total_pax/d/PHF</t>
  </si>
  <si>
    <t>ADPM_SBR/total_pax/d/첨두시_N번째</t>
  </si>
  <si>
    <t>ADPM/total_pax/a/H팩터</t>
  </si>
  <si>
    <t>ADPM/total_pax/a/D팩터</t>
  </si>
  <si>
    <t>ADPM/total_pax/a/PHF</t>
  </si>
  <si>
    <t>SBR/total_pax/a/PHF</t>
  </si>
  <si>
    <t>ADPM_SBR/total_pax/a/첨두시_N번째</t>
  </si>
  <si>
    <t>ADPM/od_pax/all/H팩터</t>
  </si>
  <si>
    <t>ADPM/od_pax/all/D팩터</t>
  </si>
  <si>
    <t>ADPM/od_pax/all/PHF</t>
  </si>
  <si>
    <t>SBR/od_pax/all/PHF</t>
  </si>
  <si>
    <t>ADPM_SBR/od_pax/all/첨두시_N번째</t>
  </si>
  <si>
    <t>ADPM/od_pax/d/H팩터</t>
  </si>
  <si>
    <t>ADPM/od_pax/d/D팩터</t>
  </si>
  <si>
    <t>ADPM/od_pax/d/PHF</t>
  </si>
  <si>
    <t>SBR/od_pax/d/PHF</t>
  </si>
  <si>
    <t>ADPM_SBR/od_pax/d/첨두시_N번째</t>
  </si>
  <si>
    <t>ADPM/od_pax/a/H팩터</t>
  </si>
  <si>
    <t>ADPM/od_pax/a/D팩터</t>
  </si>
  <si>
    <t>ADPM/od_pax/a/PHF</t>
  </si>
  <si>
    <t>SBR/od_pax/a/PHF</t>
  </si>
  <si>
    <t>ADPM_SBR/od_pax/a/첨두시_N번째</t>
  </si>
  <si>
    <t>ADPM/tr_pax/all/H팩터</t>
  </si>
  <si>
    <t>ADPM/tr_pax/all/D팩터</t>
  </si>
  <si>
    <t>ADPM/tr_pax/all/PHF</t>
  </si>
  <si>
    <t>SBR/tr_pax/all/PHF</t>
  </si>
  <si>
    <t>ADPM_SBR/tr_pax/all/첨두시_N번째</t>
  </si>
  <si>
    <t>ADPM/tr_pax/d/H팩터</t>
  </si>
  <si>
    <t>ADPM/tr_pax/d/D팩터</t>
  </si>
  <si>
    <t>ADPM/tr_pax/d/PHF</t>
  </si>
  <si>
    <t>SBR/tr_pax/d/PHF</t>
  </si>
  <si>
    <t>ADPM_SBR/tr_pax/d/첨두시_N번째</t>
  </si>
  <si>
    <t>ADPM/tr_pax/a/H팩터</t>
  </si>
  <si>
    <t>ADPM/tr_pax/a/D팩터</t>
  </si>
  <si>
    <t>ADPM/tr_pax/a/PHF</t>
  </si>
  <si>
    <t>SBR/tr_pax/a/PHF</t>
  </si>
  <si>
    <t>ADPM_SBR/tr_pax/a/첨두시_N번째</t>
  </si>
  <si>
    <t>ADPM/total_seat_count/all/H팩터</t>
  </si>
  <si>
    <t>ADPM/total_seat_count/all/D팩터</t>
  </si>
  <si>
    <t>ADPM/total_seat_count/all/PHF</t>
  </si>
  <si>
    <t>SBR/total_seat_count/all/PHF</t>
  </si>
  <si>
    <t>ADPM_SBR/total_seat_count/all/첨두시_N번째</t>
  </si>
  <si>
    <t>ADPM/total_seat_count/d/H팩터</t>
  </si>
  <si>
    <t>ADPM/total_seat_count/d/D팩터</t>
  </si>
  <si>
    <t>ADPM/total_seat_count/d/PHF</t>
  </si>
  <si>
    <t>ADPM/total_seat_count/d/첨두시</t>
  </si>
  <si>
    <t>SBR/total_seat_count/d/PHF</t>
  </si>
  <si>
    <t>SBR/total_seat_count/d/첨두시</t>
  </si>
  <si>
    <t>ADPM_SBR/total_seat_count/d/첨두시_N번째</t>
  </si>
  <si>
    <t>ADPM/total_seat_count/a/H팩터</t>
  </si>
  <si>
    <t>ADPM/total_seat_count/a/D팩터</t>
  </si>
  <si>
    <t>ADPM/total_seat_count/a/PHF</t>
  </si>
  <si>
    <t>ADPM/total_seat_count/a/첨두시</t>
  </si>
  <si>
    <t>SBR/total_seat_count/a/PHF</t>
  </si>
  <si>
    <t>SBR/total_seat_count/a/첨두시</t>
  </si>
  <si>
    <t>ADPM_SBR/total_seat_count/a/첨두시_N번째</t>
  </si>
  <si>
    <t>ADPM/total_pax/d/중방향계수</t>
  </si>
  <si>
    <t>ADPM/total_pax/a/중방향계수</t>
  </si>
  <si>
    <t>항공사배치</t>
  </si>
  <si>
    <t>['HY', 'S7', 'SU']</t>
  </si>
  <si>
    <t>['HY', 'S7', 'U6']</t>
  </si>
  <si>
    <t>['HY', 'U6', 'S7', 'N4']</t>
  </si>
  <si>
    <t>['HY', 'U6', 'N4', 'ZF', 'RL']</t>
  </si>
  <si>
    <t>(Regional Jets급)운항횟수</t>
  </si>
  <si>
    <t>(Regional Jets급)혼합율</t>
  </si>
  <si>
    <t>(Regional Jets급)대당좌석수</t>
  </si>
  <si>
    <t>(Regional Jets급)대당여객</t>
  </si>
  <si>
    <t>(Regional Jets급)탑승율</t>
  </si>
  <si>
    <t>(Regional Jets급)환승율</t>
  </si>
  <si>
    <t>(Regional Jets급)대당환승승객</t>
  </si>
  <si>
    <t>(Regional Jets급)대당승무원</t>
  </si>
  <si>
    <t>(Regional Jets급)승무원비율</t>
  </si>
  <si>
    <t>(Regional Jets급)명당수하물</t>
  </si>
  <si>
    <t>(Regional Jets급)대당최대이륙중량</t>
  </si>
  <si>
    <t>(Regional Jets급)대당택싱평균</t>
  </si>
  <si>
    <t>(Regional Jets급)비행거리평균(km)</t>
  </si>
  <si>
    <t>(Regional Jets급)대당유상탑재중량</t>
  </si>
  <si>
    <t>airport_iata_code_list</t>
  </si>
  <si>
    <t>['UGC']</t>
  </si>
  <si>
    <t>start_year</t>
  </si>
  <si>
    <t>end_year</t>
  </si>
  <si>
    <t>predict_end_year</t>
  </si>
  <si>
    <t>regression</t>
  </si>
  <si>
    <t>country ratio</t>
  </si>
  <si>
    <t>GDP per capita</t>
  </si>
  <si>
    <t>Working-age Population</t>
  </si>
  <si>
    <t>COVID19</t>
  </si>
  <si>
    <t>airport_real</t>
  </si>
  <si>
    <t>country_pred</t>
  </si>
  <si>
    <t>ratio</t>
  </si>
  <si>
    <t>General Index</t>
    <phoneticPr fontId="2" type="noConversion"/>
  </si>
  <si>
    <t>140번째</t>
  </si>
  <si>
    <t>160번째</t>
  </si>
  <si>
    <t>['HY', 'SU', 'S7']</t>
  </si>
  <si>
    <t>['HY', 'S7', 'U6', 'N4']</t>
  </si>
  <si>
    <t>['HY', 'DV', 'ZF', 'U6', 'S7', 'SU', 'RL', 'WZ', 'TK', 'R3', 'N4']</t>
  </si>
  <si>
    <t>['HY', 'TK', 'DV', 'SU', 'WZ', 'R3', 'S7', 'U6', 'IO', 'A4', 'ZF', 'RL']</t>
  </si>
  <si>
    <t>['HY', 'US', 'C6', 'SU', 'S7', 'IO', 'J2', 'A4', 'TK', 'WZ', 'DV']</t>
  </si>
  <si>
    <t>['HY', 'US', 'C6', 'HH', 'HJ', 'S7', 'SU', 'U6', 'J2', 'TK', 'WZ', 'A4', '2W']</t>
  </si>
  <si>
    <t>Category</t>
    <phoneticPr fontId="2" type="noConversion"/>
  </si>
  <si>
    <t>annual_passengers</t>
  </si>
  <si>
    <t>international_passengers</t>
  </si>
  <si>
    <t>domestic_passengers</t>
  </si>
  <si>
    <t>long_haul_passengers</t>
  </si>
  <si>
    <t>short_haul_passengers</t>
  </si>
  <si>
    <t>scheduled_passengers</t>
  </si>
  <si>
    <t>charter_passengers</t>
  </si>
  <si>
    <t>annual_od_passengers</t>
  </si>
  <si>
    <t>annual_transfer_passengers</t>
  </si>
  <si>
    <t>annual_crew</t>
  </si>
  <si>
    <t>annual_movements</t>
  </si>
  <si>
    <t>international_movements</t>
  </si>
  <si>
    <t>domestic_movements</t>
  </si>
  <si>
    <t>long_haul_movements</t>
  </si>
  <si>
    <t>short_haul_movements</t>
  </si>
  <si>
    <t>scheduled_movements</t>
  </si>
  <si>
    <t>charter_movements</t>
  </si>
  <si>
    <t>annual_baggage</t>
  </si>
  <si>
    <t>annual_mtow</t>
  </si>
  <si>
    <t>annual_long_haul_mtow</t>
  </si>
  <si>
    <t>annual_short_haul_mtow</t>
  </si>
  <si>
    <t>annual_payload</t>
  </si>
  <si>
    <t>annual_long_haul_payload</t>
  </si>
  <si>
    <t>annual_short_haul_payload</t>
  </si>
  <si>
    <t>seats_per_aircraft</t>
  </si>
  <si>
    <t>passengers_per_aircraft</t>
  </si>
  <si>
    <t>load_factor</t>
  </si>
  <si>
    <t>transfer_rate</t>
  </si>
  <si>
    <t>transfer_passengers_per_aircraft</t>
  </si>
  <si>
    <t>crew_per_aircraft</t>
  </si>
  <si>
    <t>crew_ratio</t>
  </si>
  <si>
    <t>baggage_per_passenger</t>
  </si>
  <si>
    <t>mtow_per_aircraft</t>
  </si>
  <si>
    <t>avg_taxi_time_per_aircraft</t>
  </si>
  <si>
    <t>avg_flight_distance_km</t>
  </si>
  <si>
    <t>payload_per_aircraft</t>
  </si>
  <si>
    <t>peak_turnaround_cycle_time_min</t>
  </si>
  <si>
    <t>peak_turnaround_ground_time_min</t>
  </si>
  <si>
    <t>avg_turnaround_cycle_time_min</t>
  </si>
  <si>
    <t>avg_turnaround_ground_time_min</t>
  </si>
  <si>
    <t>peak_cycle_time_with_overnight_dispersion_min</t>
  </si>
  <si>
    <t>avg_cycle_time_with_overnight_dispersion_min</t>
  </si>
  <si>
    <t>avg_ground_time_with_overnight_dispersion_min</t>
  </si>
  <si>
    <t>narrowbody_movements</t>
  </si>
  <si>
    <t>narrowbody_mix_ratio</t>
  </si>
  <si>
    <t>narrowbody_seats_per_aircraft</t>
  </si>
  <si>
    <t>narrowbody_passengers_per_aircraft</t>
  </si>
  <si>
    <t>narrowbody_load_factor</t>
  </si>
  <si>
    <t>narrowbody_transfer_rate</t>
  </si>
  <si>
    <t>narrowbody_transfer_passengers_per_aircraft</t>
  </si>
  <si>
    <t>narrowbody_crew_per_aircraft</t>
  </si>
  <si>
    <t>narrowbody_crew_ratio</t>
  </si>
  <si>
    <t>narrowbody_baggage_per_passenger</t>
  </si>
  <si>
    <t>narrowbody_mtow_per_aircraft</t>
  </si>
  <si>
    <t>narrowbody_avg_taxi_time</t>
  </si>
  <si>
    <t>narrowbody_avg_flight_distance_km</t>
  </si>
  <si>
    <t>narrowbody_payload_per_aircraft</t>
  </si>
  <si>
    <t>sbr_start_n</t>
  </si>
  <si>
    <t>sbr_end_n</t>
  </si>
  <si>
    <t>adpm_movement_all_h_factor</t>
  </si>
  <si>
    <t>adpm_movement_all_d_factor</t>
  </si>
  <si>
    <t>adpm_movement_all_phf</t>
  </si>
  <si>
    <t>adpm_movement_all_peak_hour</t>
  </si>
  <si>
    <t>sbr_movement_all_phf</t>
  </si>
  <si>
    <t>sbr_movement_all_peak_hour</t>
  </si>
  <si>
    <t>adpm_sbr_movement_all_peak_hour_n</t>
  </si>
  <si>
    <t>widebody_movements</t>
  </si>
  <si>
    <t>widebody_mix_ratio</t>
  </si>
  <si>
    <t>widebody_seats_per_aircraft</t>
  </si>
  <si>
    <t>widebody_passengers_per_aircraft</t>
  </si>
  <si>
    <t>widebody_load_factor</t>
  </si>
  <si>
    <t>widebody_transfer_rate</t>
  </si>
  <si>
    <t>widebody_transfer_passengers_per_aircraft</t>
  </si>
  <si>
    <t>widebody_crew_per_aircraft</t>
  </si>
  <si>
    <t>widebody_crew_ratio</t>
  </si>
  <si>
    <t>widebody_baggage_per_passenger</t>
  </si>
  <si>
    <t>widebody_mtow_per_aircraft</t>
  </si>
  <si>
    <t>widebody_avg_taxi_time</t>
  </si>
  <si>
    <t>widebody_avg_flight_distance_km</t>
  </si>
  <si>
    <t>widebody_payload_per_aircraft</t>
  </si>
  <si>
    <t>adpm_movement_d_h_factor</t>
  </si>
  <si>
    <t>adpm_movement_d_d_factor</t>
  </si>
  <si>
    <t>adpm_movement_d_phf</t>
  </si>
  <si>
    <t>adpm_movement_d_peak_hour</t>
  </si>
  <si>
    <t>sbr_movement_d_phf</t>
  </si>
  <si>
    <t>sbr_movement_d_peak_hour</t>
  </si>
  <si>
    <t>adpm_sbr_movement_d_peak_hour_n</t>
  </si>
  <si>
    <t>adpm_movement_a_h_factor</t>
  </si>
  <si>
    <t>adpm_movement_a_d_factor</t>
  </si>
  <si>
    <t>adpm_movement_a_phf</t>
  </si>
  <si>
    <t>adpm_movement_a_peak_hour</t>
  </si>
  <si>
    <t>sbr_movement_a_phf</t>
  </si>
  <si>
    <t>sbr_movement_a_peak_hour</t>
  </si>
  <si>
    <t>adpm_sbr_movement_a_peak_hour_n</t>
  </si>
  <si>
    <t>adpm_total_pax_all_h_factor</t>
  </si>
  <si>
    <t>adpm_total_pax_all_d_factor</t>
  </si>
  <si>
    <t>adpm_total_pax_all_phf</t>
  </si>
  <si>
    <t>adpm_total_pax_all_peak_hour</t>
  </si>
  <si>
    <t>sbr_total_pax_all_phf</t>
  </si>
  <si>
    <t>sbr_total_pax_all_peak_hour</t>
  </si>
  <si>
    <t>adpm_sbr_total_pax_all_peak_hour_n</t>
  </si>
  <si>
    <t>adpm_total_pax_d_h_factor</t>
  </si>
  <si>
    <t>adpm_total_pax_d_d_factor</t>
  </si>
  <si>
    <t>adpm_total_pax_d_phf</t>
  </si>
  <si>
    <t>adpm_total_pax_d_peak_hour</t>
  </si>
  <si>
    <t>sbr_total_pax_d_phf</t>
  </si>
  <si>
    <t>sbr_total_pax_d_peak_hour</t>
  </si>
  <si>
    <t>adpm_sbr_total_pax_d_peak_hour_n</t>
  </si>
  <si>
    <t>adpm_total_pax_a_h_factor</t>
  </si>
  <si>
    <t>adpm_total_pax_a_d_factor</t>
  </si>
  <si>
    <t>adpm_total_pax_a_phf</t>
  </si>
  <si>
    <t>adpm_total_pax_a_peak_hour</t>
  </si>
  <si>
    <t>sbr_total_pax_a_phf</t>
  </si>
  <si>
    <t>sbr_total_pax_a_peak_hour</t>
  </si>
  <si>
    <t>adpm_sbr_total_pax_a_peak_hour_n</t>
  </si>
  <si>
    <t>adpm_od_pax_all_h_factor</t>
  </si>
  <si>
    <t>adpm_od_pax_all_d_factor</t>
  </si>
  <si>
    <t>adpm_od_pax_all_phf</t>
  </si>
  <si>
    <t>adpm_od_pax_all_peak_hour</t>
  </si>
  <si>
    <t>sbr_od_pax_all_phf</t>
  </si>
  <si>
    <t>sbr_od_pax_all_peak_hour</t>
  </si>
  <si>
    <t>adpm_sbr_od_pax_all_peak_hour_n</t>
  </si>
  <si>
    <t>adpm_od_pax_d_h_factor</t>
  </si>
  <si>
    <t>adpm_od_pax_d_d_factor</t>
  </si>
  <si>
    <t>adpm_od_pax_d_phf</t>
  </si>
  <si>
    <t>adpm_od_pax_d_peak_hour</t>
  </si>
  <si>
    <t>sbr_od_pax_d_phf</t>
  </si>
  <si>
    <t>sbr_od_pax_d_peak_hour</t>
  </si>
  <si>
    <t>adpm_sbr_od_pax_d_peak_hour_n</t>
  </si>
  <si>
    <t>adpm_od_pax_a_h_factor</t>
  </si>
  <si>
    <t>adpm_od_pax_a_d_factor</t>
  </si>
  <si>
    <t>adpm_od_pax_a_phf</t>
  </si>
  <si>
    <t>adpm_od_pax_a_peak_hour</t>
  </si>
  <si>
    <t>sbr_od_pax_a_phf</t>
  </si>
  <si>
    <t>sbr_od_pax_a_peak_hour</t>
  </si>
  <si>
    <t>adpm_sbr_od_pax_a_peak_hour_n</t>
  </si>
  <si>
    <t>adpm_tr_pax_all_h_factor</t>
  </si>
  <si>
    <t>adpm_tr_pax_all_d_factor</t>
  </si>
  <si>
    <t>adpm_tr_pax_all_phf</t>
  </si>
  <si>
    <t>adpm_tr_pax_all_peak_hour</t>
  </si>
  <si>
    <t>sbr_tr_pax_all_phf</t>
  </si>
  <si>
    <t>sbr_tr_pax_all_peak_hour</t>
  </si>
  <si>
    <t>adpm_sbr_tr_pax_all_peak_hour_n</t>
  </si>
  <si>
    <t>adpm_tr_pax_d_h_factor</t>
  </si>
  <si>
    <t>adpm_tr_pax_d_d_factor</t>
  </si>
  <si>
    <t>adpm_tr_pax_d_phf</t>
  </si>
  <si>
    <t>adpm_tr_pax_d_peak_hour</t>
  </si>
  <si>
    <t>sbr_tr_pax_d_phf</t>
  </si>
  <si>
    <t>sbr_tr_pax_d_peak_hour</t>
  </si>
  <si>
    <t>adpm_sbr_tr_pax_d_peak_hour_n</t>
  </si>
  <si>
    <t>adpm_tr_pax_a_h_factor</t>
  </si>
  <si>
    <t>adpm_tr_pax_a_d_factor</t>
  </si>
  <si>
    <t>adpm_tr_pax_a_phf</t>
  </si>
  <si>
    <t>adpm_tr_pax_a_peak_hour</t>
  </si>
  <si>
    <t>sbr_tr_pax_a_phf</t>
  </si>
  <si>
    <t>sbr_tr_pax_a_peak_hour</t>
  </si>
  <si>
    <t>adpm_sbr_tr_pax_a_peak_hour_n</t>
  </si>
  <si>
    <t>adpm_total_seat_count_all_h_factor</t>
  </si>
  <si>
    <t>adpm_total_seat_count_all_d_factor</t>
  </si>
  <si>
    <t>adpm_total_seat_count_all_phf</t>
  </si>
  <si>
    <t>adpm_total_seat_count_all_peak_hour</t>
  </si>
  <si>
    <t>sbr_total_seat_count_all_phf</t>
  </si>
  <si>
    <t>sbr_total_seat_count_all_peak_hour</t>
  </si>
  <si>
    <t>adpm_sbr_total_seat_count_all_peak_hour_n</t>
  </si>
  <si>
    <t>adpm_total_seat_count_d_h_factor</t>
  </si>
  <si>
    <t>adpm_total_seat_count_d_d_factor</t>
  </si>
  <si>
    <t>adpm_total_seat_count_d_phf</t>
  </si>
  <si>
    <t>adpm_total_seat_count_d_peak_hour</t>
  </si>
  <si>
    <t>sbr_total_seat_count_d_phf</t>
  </si>
  <si>
    <t>sbr_total_seat_count_d_peak_hour</t>
  </si>
  <si>
    <t>adpm_sbr_total_seat_count_d_peak_hour_n</t>
  </si>
  <si>
    <t>adpm_total_seat_count_a_h_factor</t>
  </si>
  <si>
    <t>adpm_total_seat_count_a_d_factor</t>
  </si>
  <si>
    <t>adpm_total_seat_count_a_phf</t>
  </si>
  <si>
    <t>adpm_total_seat_count_a_peak_hour</t>
  </si>
  <si>
    <t>sbr_total_seat_count_a_phf</t>
  </si>
  <si>
    <t>sbr_total_seat_count_a_peak_hour</t>
  </si>
  <si>
    <t>adpm_sbr_total_seat_count_a_peak_hour_n</t>
  </si>
  <si>
    <t>adpm_movement_d_directional_factor</t>
  </si>
  <si>
    <t>adpm_movement_a_directional_factor</t>
  </si>
  <si>
    <t>adpm_total_pax_d_directional_factor</t>
  </si>
  <si>
    <t>adpm_total_pax_a_directional_factor</t>
  </si>
  <si>
    <t>adpm_od_pax_all_directional_factor</t>
  </si>
  <si>
    <t>adpm_od_pax_d_directional_factor</t>
  </si>
  <si>
    <t>adpm_od_pax_a_directional_factor</t>
  </si>
  <si>
    <t>adpm_tr_pax_all_directional_factor</t>
  </si>
  <si>
    <t>adpm_tr_pax_d_directional_factor</t>
  </si>
  <si>
    <t>adpm_tr_pax_a_directional_factor</t>
  </si>
  <si>
    <t>airline_allocation</t>
  </si>
  <si>
    <t>regional_movements</t>
  </si>
  <si>
    <t>regional_mix_ratio</t>
  </si>
  <si>
    <t>regional_seats_per_aircraft</t>
  </si>
  <si>
    <t>regional_passengers_per_aircraft</t>
  </si>
  <si>
    <t>regional_load_factor</t>
  </si>
  <si>
    <t>regional_transfer_rate</t>
  </si>
  <si>
    <t>regional_transfer_passengers_per_aircraft</t>
  </si>
  <si>
    <t>regional_crew_per_aircraft</t>
  </si>
  <si>
    <t>regional_crew_ratio</t>
  </si>
  <si>
    <t>regional_baggage_per_passenger</t>
  </si>
  <si>
    <t>regional_mtow_per_aircraft</t>
  </si>
  <si>
    <t>regional_avg_taxi_time</t>
  </si>
  <si>
    <t>regional_avg_flight_distance_km</t>
  </si>
  <si>
    <t>regional_payload_per_aircraft</t>
  </si>
  <si>
    <t>EN</t>
    <phoneticPr fontId="2" type="noConversion"/>
  </si>
  <si>
    <t>KOR</t>
    <phoneticPr fontId="2" type="noConversion"/>
  </si>
  <si>
    <t xml:space="preserve">  transfer ratio by Class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</si>
</sst>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0_-;\-* #,##0.0000_-;_-* &quot;-&quot;_-;_-@_-"/>
    <numFmt numFmtId="178" formatCode="0.0%"/>
    <numFmt numFmtId="179" formatCode="_-* #,##0.0000_-;\-* #,##0.0000_-;_-* &quot;-&quot;??_-;_-@_-"/>
    <numFmt numFmtId="180" formatCode="0.0000%"/>
    <numFmt numFmtId="181" formatCode="_-* #,##0.0_-;\-* #,##0.0_-;_-* &quot;-&quot;_-;_-@_-"/>
    <numFmt numFmtId="182" formatCode="0_);[Red]\(0\)"/>
    <numFmt numFmtId="183" formatCode="0_ "/>
  </numFmts>
  <fonts count="13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8"/>
      <name val="Pretendard"/>
      <family val="2"/>
      <charset val="129"/>
    </font>
    <font>
      <sz val="11"/>
      <color theme="0"/>
      <name val="Pretendard"/>
      <family val="3"/>
      <charset val="129"/>
    </font>
    <font>
      <b/>
      <sz val="11"/>
      <color theme="1"/>
      <name val="Pretendard"/>
      <family val="3"/>
      <charset val="129"/>
    </font>
    <font>
      <sz val="11"/>
      <name val="Pretendard"/>
      <family val="3"/>
      <charset val="129"/>
    </font>
    <font>
      <sz val="11"/>
      <color theme="1"/>
      <name val="Pretendard"/>
      <family val="3"/>
      <charset val="129"/>
    </font>
    <font>
      <b/>
      <i/>
      <sz val="11"/>
      <color theme="8" tint="-0.499984740745262"/>
      <name val="Pretendard"/>
      <family val="3"/>
      <charset val="129"/>
    </font>
    <font>
      <b/>
      <i/>
      <sz val="10"/>
      <color theme="8" tint="-0.499984740745262"/>
      <name val="Pretendard"/>
      <family val="3"/>
      <charset val="129"/>
    </font>
    <font>
      <sz val="11"/>
      <color theme="1"/>
      <name val="맑은 고딕"/>
      <family val="2"/>
      <charset val="129"/>
      <scheme val="minor"/>
    </font>
    <font>
      <b/>
      <sz val="11"/>
      <name val="Pretendard"/>
      <family val="3"/>
      <charset val="129"/>
    </font>
    <font>
      <sz val="11"/>
      <color rgb="FFFF0000"/>
      <name val="Pretendard"/>
      <family val="2"/>
      <charset val="129"/>
    </font>
    <font>
      <sz val="10"/>
      <color theme="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 tint="-0.249977111117893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8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9" fillId="0" borderId="0">
      <alignment vertical="center"/>
    </xf>
    <xf numFmtId="43" fontId="9" fillId="0" borderId="0">
      <alignment vertical="center"/>
    </xf>
    <xf numFmtId="9" fontId="9" fillId="0" borderId="0">
      <alignment vertical="center"/>
    </xf>
    <xf numFmtId="41" fontId="9" fillId="0" borderId="0">
      <alignment vertical="center"/>
    </xf>
    <xf numFmtId="0" fontId="12" fillId="12" borderId="6" applyNumberFormat="0" applyAlignment="0">
      <alignment horizontal="right"/>
      <protection locked="0"/>
    </xf>
  </cellStyleXfs>
  <cellXfs count="134">
    <xf numFmtId="0" fontId="0" fillId="0" borderId="0" xfId="0">
      <alignment vertical="center"/>
    </xf>
    <xf numFmtId="176" fontId="0" fillId="0" borderId="0" xfId="1" applyNumberFormat="1" applyFont="1">
      <alignment vertical="center"/>
    </xf>
    <xf numFmtId="41" fontId="0" fillId="0" borderId="0" xfId="1" applyFont="1">
      <alignment vertical="center"/>
    </xf>
    <xf numFmtId="10" fontId="4" fillId="4" borderId="0" xfId="2" applyNumberFormat="1" applyFont="1" applyFill="1" applyAlignment="1">
      <alignment vertical="center" shrinkToFit="1"/>
    </xf>
    <xf numFmtId="9" fontId="0" fillId="0" borderId="0" xfId="2" applyFont="1">
      <alignment vertical="center"/>
    </xf>
    <xf numFmtId="41" fontId="0" fillId="3" borderId="0" xfId="1" applyFont="1" applyFill="1" applyAlignment="1">
      <alignment horizontal="left" vertical="center"/>
    </xf>
    <xf numFmtId="177" fontId="0" fillId="3" borderId="0" xfId="1" applyNumberFormat="1" applyFont="1" applyFill="1" applyAlignment="1">
      <alignment horizontal="left" vertical="center"/>
    </xf>
    <xf numFmtId="9" fontId="0" fillId="3" borderId="0" xfId="2" applyFont="1" applyFill="1" applyAlignment="1">
      <alignment horizontal="left" vertical="center"/>
    </xf>
    <xf numFmtId="9" fontId="5" fillId="3" borderId="0" xfId="2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shrinkToFit="1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vertical="center" shrinkToFit="1"/>
    </xf>
    <xf numFmtId="178" fontId="0" fillId="0" borderId="0" xfId="2" applyNumberFormat="1" applyFont="1" applyAlignment="1">
      <alignment vertical="center" shrinkToFit="1"/>
    </xf>
    <xf numFmtId="41" fontId="0" fillId="0" borderId="1" xfId="1" applyFont="1" applyBorder="1">
      <alignment vertical="center"/>
    </xf>
    <xf numFmtId="41" fontId="0" fillId="0" borderId="1" xfId="2" applyNumberFormat="1" applyFont="1" applyBorder="1" applyAlignment="1">
      <alignment vertical="center" shrinkToFit="1"/>
    </xf>
    <xf numFmtId="41" fontId="0" fillId="0" borderId="3" xfId="1" applyFont="1" applyBorder="1">
      <alignment vertical="center"/>
    </xf>
    <xf numFmtId="10" fontId="0" fillId="0" borderId="0" xfId="2" applyNumberFormat="1" applyFont="1">
      <alignment vertical="center"/>
    </xf>
    <xf numFmtId="10" fontId="4" fillId="4" borderId="1" xfId="2" applyNumberFormat="1" applyFont="1" applyFill="1" applyBorder="1" applyAlignment="1">
      <alignment vertical="center" shrinkToFit="1"/>
    </xf>
    <xf numFmtId="0" fontId="0" fillId="0" borderId="1" xfId="0" applyBorder="1">
      <alignment vertical="center"/>
    </xf>
    <xf numFmtId="178" fontId="0" fillId="0" borderId="0" xfId="2" applyNumberFormat="1" applyFont="1">
      <alignment vertical="center"/>
    </xf>
    <xf numFmtId="178" fontId="0" fillId="0" borderId="1" xfId="2" applyNumberFormat="1" applyFont="1" applyBorder="1">
      <alignment vertical="center"/>
    </xf>
    <xf numFmtId="9" fontId="0" fillId="0" borderId="1" xfId="2" applyFont="1" applyBorder="1" applyAlignment="1">
      <alignment vertical="center" shrinkToFit="1"/>
    </xf>
    <xf numFmtId="9" fontId="0" fillId="0" borderId="3" xfId="2" applyFont="1" applyBorder="1">
      <alignment vertical="center"/>
    </xf>
    <xf numFmtId="178" fontId="0" fillId="0" borderId="1" xfId="2" applyNumberFormat="1" applyFont="1" applyBorder="1" applyAlignment="1">
      <alignment vertical="center" shrinkToFit="1"/>
    </xf>
    <xf numFmtId="41" fontId="0" fillId="0" borderId="3" xfId="0" applyNumberFormat="1" applyBorder="1">
      <alignment vertical="center"/>
    </xf>
    <xf numFmtId="41" fontId="0" fillId="0" borderId="0" xfId="0" applyNumberFormat="1">
      <alignment vertical="center"/>
    </xf>
    <xf numFmtId="41" fontId="0" fillId="0" borderId="1" xfId="0" applyNumberFormat="1" applyBorder="1">
      <alignment vertical="center"/>
    </xf>
    <xf numFmtId="179" fontId="0" fillId="0" borderId="0" xfId="0" applyNumberFormat="1" applyAlignment="1">
      <alignment vertical="center" shrinkToFit="1"/>
    </xf>
    <xf numFmtId="179" fontId="0" fillId="0" borderId="3" xfId="0" applyNumberFormat="1" applyBorder="1" applyAlignment="1">
      <alignment vertical="center" shrinkToFit="1"/>
    </xf>
    <xf numFmtId="180" fontId="0" fillId="0" borderId="0" xfId="2" applyNumberFormat="1" applyFont="1">
      <alignment vertical="center"/>
    </xf>
    <xf numFmtId="181" fontId="0" fillId="0" borderId="0" xfId="1" applyNumberFormat="1" applyFont="1">
      <alignment vertical="center"/>
    </xf>
    <xf numFmtId="41" fontId="0" fillId="3" borderId="1" xfId="1" applyFont="1" applyFill="1" applyBorder="1" applyAlignment="1">
      <alignment horizontal="left" vertical="center"/>
    </xf>
    <xf numFmtId="41" fontId="0" fillId="3" borderId="3" xfId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shrinkToFit="1"/>
    </xf>
    <xf numFmtId="0" fontId="3" fillId="5" borderId="1" xfId="0" applyFont="1" applyFill="1" applyBorder="1" applyAlignment="1">
      <alignment vertical="center" shrinkToFit="1"/>
    </xf>
    <xf numFmtId="0" fontId="0" fillId="3" borderId="0" xfId="0" applyFill="1" applyAlignment="1">
      <alignment horizontal="left" vertical="center"/>
    </xf>
    <xf numFmtId="9" fontId="0" fillId="3" borderId="1" xfId="2" applyFont="1" applyFill="1" applyBorder="1" applyAlignment="1">
      <alignment horizontal="left" vertical="center"/>
    </xf>
    <xf numFmtId="9" fontId="0" fillId="0" borderId="1" xfId="2" applyFont="1" applyBorder="1">
      <alignment vertical="center"/>
    </xf>
    <xf numFmtId="0" fontId="0" fillId="3" borderId="1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41" fontId="0" fillId="8" borderId="0" xfId="1" applyFont="1" applyFill="1">
      <alignment vertical="center"/>
    </xf>
    <xf numFmtId="41" fontId="0" fillId="8" borderId="1" xfId="1" applyFont="1" applyFill="1" applyBorder="1">
      <alignment vertical="center"/>
    </xf>
    <xf numFmtId="180" fontId="0" fillId="9" borderId="0" xfId="2" applyNumberFormat="1" applyFont="1" applyFill="1" applyAlignment="1">
      <alignment vertical="center" shrinkToFit="1"/>
    </xf>
    <xf numFmtId="9" fontId="0" fillId="9" borderId="0" xfId="2" applyFont="1" applyFill="1" applyAlignment="1">
      <alignment vertical="center" shrinkToFit="1"/>
    </xf>
    <xf numFmtId="9" fontId="0" fillId="9" borderId="1" xfId="2" applyFont="1" applyFill="1" applyBorder="1">
      <alignment vertical="center"/>
    </xf>
    <xf numFmtId="41" fontId="0" fillId="9" borderId="3" xfId="1" applyFont="1" applyFill="1" applyBorder="1">
      <alignment vertical="center"/>
    </xf>
    <xf numFmtId="41" fontId="0" fillId="9" borderId="0" xfId="1" applyFont="1" applyFill="1">
      <alignment vertical="center"/>
    </xf>
    <xf numFmtId="41" fontId="0" fillId="9" borderId="1" xfId="1" applyFont="1" applyFill="1" applyBorder="1">
      <alignment vertical="center"/>
    </xf>
    <xf numFmtId="176" fontId="0" fillId="9" borderId="3" xfId="1" applyNumberFormat="1" applyFont="1" applyFill="1" applyBorder="1">
      <alignment vertical="center"/>
    </xf>
    <xf numFmtId="176" fontId="0" fillId="9" borderId="0" xfId="1" applyNumberFormat="1" applyFont="1" applyFill="1">
      <alignment vertical="center"/>
    </xf>
    <xf numFmtId="41" fontId="0" fillId="8" borderId="3" xfId="1" applyFont="1" applyFill="1" applyBorder="1">
      <alignment vertical="center"/>
    </xf>
    <xf numFmtId="180" fontId="0" fillId="7" borderId="0" xfId="2" applyNumberFormat="1" applyFont="1" applyFill="1" applyAlignment="1">
      <alignment vertical="center" shrinkToFit="1"/>
    </xf>
    <xf numFmtId="9" fontId="0" fillId="7" borderId="0" xfId="2" applyFont="1" applyFill="1" applyAlignment="1">
      <alignment vertical="center" shrinkToFit="1"/>
    </xf>
    <xf numFmtId="9" fontId="0" fillId="7" borderId="1" xfId="2" applyFont="1" applyFill="1" applyBorder="1">
      <alignment vertical="center"/>
    </xf>
    <xf numFmtId="10" fontId="0" fillId="9" borderId="0" xfId="2" applyNumberFormat="1" applyFont="1" applyFill="1">
      <alignment vertical="center"/>
    </xf>
    <xf numFmtId="10" fontId="0" fillId="9" borderId="1" xfId="2" applyNumberFormat="1" applyFont="1" applyFill="1" applyBorder="1">
      <alignment vertical="center"/>
    </xf>
    <xf numFmtId="0" fontId="0" fillId="0" borderId="0" xfId="0" applyAlignment="1"/>
    <xf numFmtId="178" fontId="4" fillId="4" borderId="1" xfId="2" applyNumberFormat="1" applyFont="1" applyFill="1" applyBorder="1" applyAlignment="1">
      <alignment vertical="center" shrinkToFit="1"/>
    </xf>
    <xf numFmtId="41" fontId="6" fillId="0" borderId="0" xfId="1" applyFont="1" applyAlignment="1">
      <alignment vertical="center" shrinkToFit="1"/>
    </xf>
    <xf numFmtId="41" fontId="6" fillId="0" borderId="1" xfId="1" applyFont="1" applyBorder="1" applyAlignment="1">
      <alignment vertical="center" shrinkToFit="1"/>
    </xf>
    <xf numFmtId="176" fontId="0" fillId="0" borderId="1" xfId="1" applyNumberFormat="1" applyFont="1" applyBorder="1">
      <alignment vertical="center"/>
    </xf>
    <xf numFmtId="0" fontId="3" fillId="2" borderId="4" xfId="0" applyFont="1" applyFill="1" applyBorder="1" applyAlignment="1">
      <alignment horizontal="center" vertical="center"/>
    </xf>
    <xf numFmtId="41" fontId="0" fillId="4" borderId="3" xfId="2" applyNumberFormat="1" applyFont="1" applyFill="1" applyBorder="1" applyAlignment="1">
      <alignment vertical="center" shrinkToFit="1"/>
    </xf>
    <xf numFmtId="0" fontId="3" fillId="2" borderId="4" xfId="0" applyFont="1" applyFill="1" applyBorder="1" applyAlignment="1">
      <alignment horizontal="left" vertical="center"/>
    </xf>
    <xf numFmtId="9" fontId="0" fillId="3" borderId="3" xfId="2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41" fontId="0" fillId="0" borderId="0" xfId="1" applyFont="1" applyAlignment="1">
      <alignment vertical="center" shrinkToFit="1"/>
    </xf>
    <xf numFmtId="10" fontId="0" fillId="0" borderId="3" xfId="2" applyNumberFormat="1" applyFont="1" applyBorder="1">
      <alignment vertical="center"/>
    </xf>
    <xf numFmtId="0" fontId="0" fillId="0" borderId="0" xfId="0" applyAlignment="1">
      <alignment horizontal="left" vertical="center"/>
    </xf>
    <xf numFmtId="0" fontId="3" fillId="2" borderId="0" xfId="0" applyFont="1" applyFill="1" applyAlignment="1">
      <alignment horizontal="left" vertical="center" shrinkToFit="1"/>
    </xf>
    <xf numFmtId="0" fontId="0" fillId="6" borderId="0" xfId="0" applyFill="1" applyAlignment="1">
      <alignment horizontal="left" vertical="center"/>
    </xf>
    <xf numFmtId="41" fontId="0" fillId="0" borderId="0" xfId="2" applyNumberFormat="1" applyFont="1" applyAlignment="1">
      <alignment vertical="center" shrinkToFit="1"/>
    </xf>
    <xf numFmtId="9" fontId="0" fillId="4" borderId="0" xfId="2" applyFont="1" applyFill="1" applyAlignment="1">
      <alignment vertical="center" shrinkToFit="1"/>
    </xf>
    <xf numFmtId="41" fontId="0" fillId="4" borderId="0" xfId="1" applyFont="1" applyFill="1">
      <alignment vertical="center"/>
    </xf>
    <xf numFmtId="41" fontId="0" fillId="0" borderId="3" xfId="2" applyNumberFormat="1" applyFont="1" applyBorder="1" applyAlignment="1">
      <alignment vertical="center" shrinkToFit="1"/>
    </xf>
    <xf numFmtId="0" fontId="7" fillId="10" borderId="3" xfId="0" applyFont="1" applyFill="1" applyBorder="1" applyAlignment="1">
      <alignment horizontal="left" vertical="center"/>
    </xf>
    <xf numFmtId="183" fontId="8" fillId="10" borderId="3" xfId="0" applyNumberFormat="1" applyFont="1" applyFill="1" applyBorder="1" applyAlignment="1">
      <alignment horizontal="left" vertical="center"/>
    </xf>
    <xf numFmtId="0" fontId="7" fillId="10" borderId="0" xfId="0" applyFont="1" applyFill="1" applyAlignment="1">
      <alignment horizontal="left" vertical="center"/>
    </xf>
    <xf numFmtId="183" fontId="8" fillId="10" borderId="0" xfId="0" applyNumberFormat="1" applyFont="1" applyFill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183" fontId="8" fillId="10" borderId="1" xfId="0" applyNumberFormat="1" applyFont="1" applyFill="1" applyBorder="1" applyAlignment="1">
      <alignment horizontal="left" vertical="center"/>
    </xf>
    <xf numFmtId="9" fontId="8" fillId="10" borderId="3" xfId="0" applyNumberFormat="1" applyFont="1" applyFill="1" applyBorder="1" applyAlignment="1">
      <alignment horizontal="left" vertical="center"/>
    </xf>
    <xf numFmtId="9" fontId="8" fillId="10" borderId="0" xfId="0" applyNumberFormat="1" applyFont="1" applyFill="1" applyAlignment="1">
      <alignment horizontal="left" vertical="center"/>
    </xf>
    <xf numFmtId="9" fontId="8" fillId="10" borderId="1" xfId="0" applyNumberFormat="1" applyFont="1" applyFill="1" applyBorder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9" fontId="7" fillId="10" borderId="0" xfId="2" applyFont="1" applyFill="1" applyAlignment="1">
      <alignment horizontal="left" vertical="center"/>
    </xf>
    <xf numFmtId="9" fontId="7" fillId="10" borderId="1" xfId="2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8" fillId="10" borderId="3" xfId="0" applyFont="1" applyFill="1" applyBorder="1" applyAlignment="1">
      <alignment horizontal="left" vertical="center"/>
    </xf>
    <xf numFmtId="9" fontId="7" fillId="10" borderId="3" xfId="2" applyFont="1" applyFill="1" applyBorder="1" applyAlignment="1">
      <alignment horizontal="left" vertical="center"/>
    </xf>
    <xf numFmtId="0" fontId="3" fillId="11" borderId="4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  <xf numFmtId="177" fontId="7" fillId="10" borderId="0" xfId="1" applyNumberFormat="1" applyFont="1" applyFill="1" applyAlignment="1">
      <alignment horizontal="left" vertical="center"/>
    </xf>
    <xf numFmtId="177" fontId="8" fillId="10" borderId="0" xfId="2" applyNumberFormat="1" applyFont="1" applyFill="1" applyAlignment="1">
      <alignment horizontal="left" vertical="center"/>
    </xf>
    <xf numFmtId="182" fontId="8" fillId="10" borderId="0" xfId="2" applyNumberFormat="1" applyFont="1" applyFill="1" applyAlignment="1">
      <alignment horizontal="left" vertical="center"/>
    </xf>
    <xf numFmtId="178" fontId="8" fillId="10" borderId="0" xfId="2" applyNumberFormat="1" applyFont="1" applyFill="1" applyAlignment="1">
      <alignment horizontal="left" vertical="center"/>
    </xf>
    <xf numFmtId="41" fontId="7" fillId="10" borderId="0" xfId="1" applyFont="1" applyFill="1" applyAlignment="1">
      <alignment horizontal="left" vertical="center"/>
    </xf>
    <xf numFmtId="41" fontId="7" fillId="10" borderId="1" xfId="1" applyFont="1" applyFill="1" applyBorder="1" applyAlignment="1">
      <alignment horizontal="left" vertical="center"/>
    </xf>
    <xf numFmtId="182" fontId="8" fillId="10" borderId="1" xfId="2" applyNumberFormat="1" applyFont="1" applyFill="1" applyBorder="1" applyAlignment="1">
      <alignment horizontal="left" vertical="center"/>
    </xf>
    <xf numFmtId="9" fontId="8" fillId="10" borderId="0" xfId="2" applyFont="1" applyFill="1" applyAlignment="1">
      <alignment horizontal="left" vertical="center"/>
    </xf>
    <xf numFmtId="9" fontId="8" fillId="10" borderId="1" xfId="2" applyFont="1" applyFill="1" applyBorder="1" applyAlignment="1">
      <alignment horizontal="left" vertical="center"/>
    </xf>
    <xf numFmtId="41" fontId="7" fillId="10" borderId="3" xfId="1" applyFont="1" applyFill="1" applyBorder="1" applyAlignment="1">
      <alignment horizontal="left" vertical="center"/>
    </xf>
    <xf numFmtId="9" fontId="8" fillId="10" borderId="3" xfId="2" applyFont="1" applyFill="1" applyBorder="1" applyAlignment="1">
      <alignment horizontal="left" vertical="center"/>
    </xf>
    <xf numFmtId="0" fontId="10" fillId="0" borderId="5" xfId="0" applyFont="1" applyBorder="1" applyAlignment="1">
      <alignment horizontal="center" vertical="top"/>
    </xf>
    <xf numFmtId="177" fontId="0" fillId="0" borderId="0" xfId="1" applyNumberFormat="1" applyFont="1">
      <alignment vertical="center"/>
    </xf>
    <xf numFmtId="43" fontId="0" fillId="0" borderId="0" xfId="0" applyNumberFormat="1" applyAlignment="1"/>
    <xf numFmtId="0" fontId="11" fillId="0" borderId="0" xfId="0" applyFont="1">
      <alignment vertical="center"/>
    </xf>
    <xf numFmtId="10" fontId="4" fillId="4" borderId="3" xfId="2" applyNumberFormat="1" applyFont="1" applyFill="1" applyBorder="1" applyAlignment="1">
      <alignment vertical="center" shrinkToFit="1"/>
    </xf>
    <xf numFmtId="10" fontId="0" fillId="0" borderId="1" xfId="2" applyNumberFormat="1" applyFont="1" applyBorder="1">
      <alignment vertical="center"/>
    </xf>
    <xf numFmtId="181" fontId="0" fillId="0" borderId="1" xfId="1" applyNumberFormat="1" applyFont="1" applyBorder="1">
      <alignment vertical="center"/>
    </xf>
    <xf numFmtId="0" fontId="0" fillId="4" borderId="0" xfId="0" applyFill="1">
      <alignment vertical="center"/>
    </xf>
    <xf numFmtId="9" fontId="4" fillId="0" borderId="0" xfId="2" applyFont="1">
      <alignment vertical="center"/>
    </xf>
    <xf numFmtId="10" fontId="4" fillId="9" borderId="0" xfId="2" applyNumberFormat="1" applyFont="1" applyFill="1">
      <alignment vertical="center"/>
    </xf>
    <xf numFmtId="0" fontId="0" fillId="0" borderId="5" xfId="0" applyBorder="1">
      <alignment vertical="center"/>
    </xf>
    <xf numFmtId="0" fontId="10" fillId="0" borderId="5" xfId="0" applyFont="1" applyBorder="1" applyAlignment="1">
      <alignment horizontal="left" vertical="top"/>
    </xf>
    <xf numFmtId="0" fontId="4" fillId="0" borderId="5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/>
    <xf numFmtId="41" fontId="0" fillId="3" borderId="2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3" borderId="1" xfId="2" applyFont="1" applyFill="1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/>
    </xf>
    <xf numFmtId="9" fontId="0" fillId="3" borderId="2" xfId="2" applyFont="1" applyFill="1" applyBorder="1" applyAlignment="1">
      <alignment horizontal="center" vertical="center" wrapText="1"/>
    </xf>
    <xf numFmtId="9" fontId="0" fillId="3" borderId="0" xfId="2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41" fontId="0" fillId="3" borderId="1" xfId="1" applyFont="1" applyFill="1" applyBorder="1" applyAlignment="1">
      <alignment horizontal="center" vertical="center" wrapText="1"/>
    </xf>
  </cellXfs>
  <cellStyles count="8">
    <cellStyle name="Assumption" xfId="7" xr:uid="{00000000-0005-0000-0000-000000000000}"/>
    <cellStyle name="Comma [0]" xfId="1" builtinId="6"/>
    <cellStyle name="Normal" xfId="0" builtinId="0"/>
    <cellStyle name="Percent" xfId="2" builtinId="5"/>
    <cellStyle name="백분율 2" xfId="5" xr:uid="{00000000-0005-0000-0000-000003000000}"/>
    <cellStyle name="쉼표 [0] 2" xfId="6" xr:uid="{00000000-0005-0000-0000-000005000000}"/>
    <cellStyle name="쉼표 2" xfId="4" xr:uid="{00000000-0005-0000-0000-000006000000}"/>
    <cellStyle name="표준 2" xfId="3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AU159"/>
  <sheetViews>
    <sheetView showGridLines="0" tabSelected="1" zoomScale="115" zoomScaleNormal="115" workbookViewId="0"/>
  </sheetViews>
  <sheetFormatPr defaultRowHeight="14"/>
  <cols>
    <col min="1" max="1" width="15.3046875" style="57" customWidth="1"/>
    <col min="2" max="2" width="24" style="57" customWidth="1"/>
    <col min="3" max="3" width="56.15234375" style="66" customWidth="1"/>
    <col min="4" max="5" width="10.15234375" style="66" hidden="1" customWidth="1"/>
    <col min="6" max="6" width="47.15234375" style="69" hidden="1" customWidth="1"/>
    <col min="7" max="7" width="23.84375" style="69" hidden="1" customWidth="1"/>
    <col min="8" max="11" width="11.23046875" style="11" customWidth="1"/>
    <col min="12" max="12" width="11.23046875" style="57" customWidth="1"/>
    <col min="13" max="14" width="10.84375" style="57" bestFit="1" customWidth="1"/>
    <col min="15" max="15" width="10.15234375" style="57" bestFit="1" customWidth="1"/>
    <col min="16" max="16" width="11" style="57" bestFit="1" customWidth="1"/>
    <col min="17" max="17" width="10.84375" style="57" bestFit="1" customWidth="1"/>
    <col min="18" max="18" width="12" style="57" customWidth="1"/>
    <col min="19" max="19" width="11.15234375" style="57" bestFit="1" customWidth="1"/>
    <col min="20" max="20" width="10.84375" style="57" bestFit="1" customWidth="1"/>
    <col min="21" max="21" width="11" style="57" bestFit="1" customWidth="1"/>
    <col min="22" max="22" width="10.84375" style="57" bestFit="1" customWidth="1"/>
    <col min="23" max="24" width="11.15234375" style="57" bestFit="1" customWidth="1"/>
    <col min="25" max="25" width="11.61328125" style="57" bestFit="1" customWidth="1"/>
    <col min="26" max="26" width="11.84375" style="57" bestFit="1" customWidth="1"/>
    <col min="27" max="27" width="11.61328125" style="57" bestFit="1" customWidth="1"/>
    <col min="28" max="28" width="11.4609375" style="57" bestFit="1" customWidth="1"/>
    <col min="29" max="30" width="11.15234375" style="57" bestFit="1" customWidth="1"/>
    <col min="31" max="32" width="11.4609375" style="57" bestFit="1" customWidth="1"/>
    <col min="33" max="34" width="11.84375" style="57" bestFit="1" customWidth="1"/>
    <col min="35" max="35" width="11.61328125" style="57" bestFit="1" customWidth="1"/>
    <col min="36" max="37" width="11.4609375" style="57" bestFit="1" customWidth="1"/>
    <col min="38" max="38" width="11.84375" style="57" bestFit="1" customWidth="1"/>
    <col min="39" max="39" width="11.4609375" style="57" bestFit="1" customWidth="1"/>
    <col min="40" max="41" width="11.61328125" style="57" bestFit="1" customWidth="1"/>
    <col min="42" max="42" width="11.84375" style="57" bestFit="1" customWidth="1"/>
    <col min="43" max="47" width="11.4609375" style="57" bestFit="1" customWidth="1"/>
  </cols>
  <sheetData>
    <row r="1" spans="1:47" ht="22.75" customHeight="1">
      <c r="A1" s="62" t="s">
        <v>0</v>
      </c>
      <c r="B1" s="62" t="s">
        <v>1</v>
      </c>
      <c r="C1" s="64" t="s">
        <v>2</v>
      </c>
      <c r="D1" s="91" t="s">
        <v>3</v>
      </c>
      <c r="E1" s="91" t="s">
        <v>4</v>
      </c>
      <c r="F1" s="92" t="s">
        <v>5</v>
      </c>
      <c r="G1" s="92" t="s">
        <v>6</v>
      </c>
      <c r="H1" s="34">
        <f t="shared" ref="H1:P1" si="0">I1-1</f>
        <v>2015</v>
      </c>
      <c r="I1" s="34">
        <f t="shared" si="0"/>
        <v>2016</v>
      </c>
      <c r="J1" s="34">
        <f t="shared" si="0"/>
        <v>2017</v>
      </c>
      <c r="K1" s="34">
        <f t="shared" si="0"/>
        <v>2018</v>
      </c>
      <c r="L1" s="34">
        <f t="shared" si="0"/>
        <v>2019</v>
      </c>
      <c r="M1" s="34">
        <f t="shared" si="0"/>
        <v>2020</v>
      </c>
      <c r="N1" s="34">
        <f t="shared" si="0"/>
        <v>2021</v>
      </c>
      <c r="O1" s="34">
        <f t="shared" si="0"/>
        <v>2022</v>
      </c>
      <c r="P1" s="34">
        <f t="shared" si="0"/>
        <v>2023</v>
      </c>
      <c r="Q1" s="34">
        <f>ref!B4</f>
        <v>2024</v>
      </c>
      <c r="R1" s="35">
        <f t="shared" ref="R1:AU1" si="1">Q1+1</f>
        <v>2025</v>
      </c>
      <c r="S1" s="35">
        <f t="shared" si="1"/>
        <v>2026</v>
      </c>
      <c r="T1" s="35">
        <f t="shared" si="1"/>
        <v>2027</v>
      </c>
      <c r="U1" s="35">
        <f t="shared" si="1"/>
        <v>2028</v>
      </c>
      <c r="V1" s="35">
        <f t="shared" si="1"/>
        <v>2029</v>
      </c>
      <c r="W1" s="35">
        <f t="shared" si="1"/>
        <v>2030</v>
      </c>
      <c r="X1" s="35">
        <f t="shared" si="1"/>
        <v>2031</v>
      </c>
      <c r="Y1" s="35">
        <f t="shared" si="1"/>
        <v>2032</v>
      </c>
      <c r="Z1" s="35">
        <f t="shared" si="1"/>
        <v>2033</v>
      </c>
      <c r="AA1" s="35">
        <f t="shared" si="1"/>
        <v>2034</v>
      </c>
      <c r="AB1" s="35">
        <f t="shared" si="1"/>
        <v>2035</v>
      </c>
      <c r="AC1" s="35">
        <f t="shared" si="1"/>
        <v>2036</v>
      </c>
      <c r="AD1" s="35">
        <f t="shared" si="1"/>
        <v>2037</v>
      </c>
      <c r="AE1" s="35">
        <f t="shared" si="1"/>
        <v>2038</v>
      </c>
      <c r="AF1" s="35">
        <f t="shared" si="1"/>
        <v>2039</v>
      </c>
      <c r="AG1" s="35">
        <f t="shared" si="1"/>
        <v>2040</v>
      </c>
      <c r="AH1" s="35">
        <f t="shared" si="1"/>
        <v>2041</v>
      </c>
      <c r="AI1" s="35">
        <f t="shared" si="1"/>
        <v>2042</v>
      </c>
      <c r="AJ1" s="35">
        <f t="shared" si="1"/>
        <v>2043</v>
      </c>
      <c r="AK1" s="35">
        <f t="shared" si="1"/>
        <v>2044</v>
      </c>
      <c r="AL1" s="35">
        <f t="shared" si="1"/>
        <v>2045</v>
      </c>
      <c r="AM1" s="35">
        <f t="shared" si="1"/>
        <v>2046</v>
      </c>
      <c r="AN1" s="35">
        <f t="shared" si="1"/>
        <v>2047</v>
      </c>
      <c r="AO1" s="35">
        <f t="shared" si="1"/>
        <v>2048</v>
      </c>
      <c r="AP1" s="35">
        <f t="shared" si="1"/>
        <v>2049</v>
      </c>
      <c r="AQ1" s="35">
        <f t="shared" si="1"/>
        <v>2050</v>
      </c>
      <c r="AR1" s="35">
        <f t="shared" si="1"/>
        <v>2051</v>
      </c>
      <c r="AS1" s="35">
        <f t="shared" si="1"/>
        <v>2052</v>
      </c>
      <c r="AT1" s="35">
        <f t="shared" si="1"/>
        <v>2053</v>
      </c>
      <c r="AU1" s="35">
        <f t="shared" si="1"/>
        <v>2054</v>
      </c>
    </row>
    <row r="2" spans="1:47" ht="16" customHeight="1">
      <c r="A2" s="118" t="s">
        <v>393</v>
      </c>
      <c r="B2" s="118" t="s">
        <v>7</v>
      </c>
      <c r="C2" s="40" t="s">
        <v>8</v>
      </c>
      <c r="D2" s="76" t="s">
        <v>9</v>
      </c>
      <c r="E2" s="76" t="s">
        <v>10</v>
      </c>
      <c r="F2" s="77" t="s">
        <v>11</v>
      </c>
      <c r="G2" s="77"/>
      <c r="H2" s="16">
        <f>VLOOKUP($F2,raw_data!$1:$1048576,MATCH(H$1,raw_data!$1:$1,0),FALSE)</f>
        <v>317549</v>
      </c>
      <c r="I2" s="16">
        <f>VLOOKUP($F2,raw_data!$1:$1048576,MATCH(I$1,raw_data!$1:$1,0),FALSE)</f>
        <v>296385</v>
      </c>
      <c r="J2" s="16">
        <f>VLOOKUP($F2,raw_data!$1:$1048576,MATCH(J$1,raw_data!$1:$1,0),FALSE)</f>
        <v>300529</v>
      </c>
      <c r="K2" s="16">
        <f>VLOOKUP($F2,raw_data!$1:$1048576,MATCH(K$1,raw_data!$1:$1,0),FALSE)</f>
        <v>360857</v>
      </c>
      <c r="L2" s="16">
        <f>VLOOKUP($F2,raw_data!$1:$1048576,MATCH(L$1,raw_data!$1:$1,0),FALSE)</f>
        <v>427585</v>
      </c>
      <c r="M2" s="16">
        <f>VLOOKUP($F2,raw_data!$1:$1048576,MATCH(M$1,raw_data!$1:$1,0),FALSE)</f>
        <v>119957</v>
      </c>
      <c r="N2" s="16">
        <f>VLOOKUP($F2,raw_data!$1:$1048576,MATCH(N$1,raw_data!$1:$1,0),FALSE)</f>
        <v>336251</v>
      </c>
      <c r="O2" s="16">
        <f>VLOOKUP($F2,raw_data!$1:$1048576,MATCH(O$1,raw_data!$1:$1,0),FALSE)</f>
        <v>503019</v>
      </c>
      <c r="P2" s="16">
        <f>VLOOKUP($F2,raw_data!$1:$1048576,MATCH(P$1,raw_data!$1:$1,0),FALSE)</f>
        <v>493777</v>
      </c>
      <c r="Q2" s="16">
        <f>VLOOKUP($F2,raw_data!$1:$1048576,MATCH(Q$1,raw_data!$1:$1,0),FALSE)</f>
        <v>601530</v>
      </c>
      <c r="R2" s="63">
        <v>690661.64405031246</v>
      </c>
      <c r="S2" s="63">
        <v>762316.78760997579</v>
      </c>
      <c r="T2" s="63">
        <v>844425.68002175284</v>
      </c>
      <c r="U2" s="63">
        <v>930926.69842162111</v>
      </c>
      <c r="V2" s="63">
        <v>1025226.316923762</v>
      </c>
      <c r="W2" s="63">
        <v>1133823.8790630265</v>
      </c>
      <c r="X2" s="63">
        <v>1230510.3381087391</v>
      </c>
      <c r="Y2" s="63">
        <v>1338980.8411570583</v>
      </c>
      <c r="Z2" s="63">
        <v>1465253.3979247177</v>
      </c>
      <c r="AA2" s="63">
        <v>1606814.7038068743</v>
      </c>
      <c r="AB2" s="63">
        <v>1765878.6499503073</v>
      </c>
      <c r="AC2" s="63">
        <v>1915282.8359195553</v>
      </c>
      <c r="AD2" s="63">
        <v>2065216.4619323481</v>
      </c>
      <c r="AE2" s="63">
        <v>2216067.0879451423</v>
      </c>
      <c r="AF2" s="63">
        <v>2367438.7139579449</v>
      </c>
      <c r="AG2" s="63">
        <v>2516702.3399707382</v>
      </c>
      <c r="AH2" s="63">
        <v>2668162.965983531</v>
      </c>
      <c r="AI2" s="63">
        <v>2819465.5919963242</v>
      </c>
      <c r="AJ2" s="63">
        <v>2928179.2668233984</v>
      </c>
      <c r="AK2" s="63">
        <v>3043999.1777695809</v>
      </c>
      <c r="AL2" s="63">
        <v>3163819.4008741383</v>
      </c>
      <c r="AM2" s="63">
        <v>3287901.0311117591</v>
      </c>
      <c r="AN2" s="63">
        <v>3415977.4782077959</v>
      </c>
      <c r="AO2" s="63">
        <v>3550247.8305773926</v>
      </c>
      <c r="AP2" s="63">
        <v>3691036.4511522208</v>
      </c>
      <c r="AQ2" s="63">
        <v>3834900.0560654956</v>
      </c>
      <c r="AR2" s="63">
        <v>3986568.0388380452</v>
      </c>
      <c r="AS2" s="63">
        <v>4144449.9785578549</v>
      </c>
      <c r="AT2" s="63">
        <v>4306348.7779455315</v>
      </c>
      <c r="AU2" s="63">
        <v>4476225.1161833126</v>
      </c>
    </row>
    <row r="3" spans="1:47">
      <c r="A3" s="119"/>
      <c r="B3" s="119"/>
      <c r="C3" s="36" t="s">
        <v>12</v>
      </c>
      <c r="D3" s="78" t="s">
        <v>9</v>
      </c>
      <c r="E3" s="78"/>
      <c r="F3" s="79" t="s">
        <v>13</v>
      </c>
      <c r="G3" s="79"/>
      <c r="H3" s="74">
        <f>VLOOKUP($F3,raw_data!$1:$1048576,MATCH(H$1,raw_data!$1:$1,0),FALSE)</f>
        <v>125299</v>
      </c>
      <c r="I3" s="74">
        <f>VLOOKUP($F3,raw_data!$1:$1048576,MATCH(I$1,raw_data!$1:$1,0),FALSE)</f>
        <v>103500</v>
      </c>
      <c r="J3" s="74">
        <f>VLOOKUP($F3,raw_data!$1:$1048576,MATCH(J$1,raw_data!$1:$1,0),FALSE)</f>
        <v>117081</v>
      </c>
      <c r="K3" s="74">
        <f>VLOOKUP($F3,raw_data!$1:$1048576,MATCH(K$1,raw_data!$1:$1,0),FALSE)</f>
        <v>162463</v>
      </c>
      <c r="L3" s="74">
        <f>VLOOKUP($F3,raw_data!$1:$1048576,MATCH(L$1,raw_data!$1:$1,0),FALSE)</f>
        <v>212440</v>
      </c>
      <c r="M3" s="74">
        <f>VLOOKUP($F3,raw_data!$1:$1048576,MATCH(M$1,raw_data!$1:$1,0),FALSE)</f>
        <v>54451</v>
      </c>
      <c r="N3" s="74">
        <f>VLOOKUP($F3,raw_data!$1:$1048576,MATCH(N$1,raw_data!$1:$1,0),FALSE)</f>
        <v>174174</v>
      </c>
      <c r="O3" s="74">
        <f>VLOOKUP($F3,raw_data!$1:$1048576,MATCH(O$1,raw_data!$1:$1,0),FALSE)</f>
        <v>298727</v>
      </c>
      <c r="P3" s="74">
        <f>VLOOKUP($F3,raw_data!$1:$1048576,MATCH(P$1,raw_data!$1:$1,0),FALSE)</f>
        <v>265902</v>
      </c>
      <c r="Q3" s="74">
        <f>VLOOKUP($F3,raw_data!$1:$1048576,MATCH(Q$1,raw_data!$1:$1,0),FALSE)</f>
        <v>318069</v>
      </c>
      <c r="R3" s="72">
        <f t="shared" ref="R3:AU3" si="2">R2*R9</f>
        <v>363709.3499827779</v>
      </c>
      <c r="S3" s="72">
        <f t="shared" si="2"/>
        <v>412526.08291543898</v>
      </c>
      <c r="T3" s="72">
        <f t="shared" si="2"/>
        <v>460870.47684124787</v>
      </c>
      <c r="U3" s="72">
        <f t="shared" si="2"/>
        <v>499127.62524958944</v>
      </c>
      <c r="V3" s="72">
        <f t="shared" si="2"/>
        <v>549206.85388754332</v>
      </c>
      <c r="W3" s="72">
        <f t="shared" si="2"/>
        <v>608952.55674731731</v>
      </c>
      <c r="X3" s="72">
        <f t="shared" si="2"/>
        <v>663457.12579093047</v>
      </c>
      <c r="Y3" s="72">
        <f t="shared" si="2"/>
        <v>721412.38559040229</v>
      </c>
      <c r="Z3" s="72">
        <f t="shared" si="2"/>
        <v>787393.05576896132</v>
      </c>
      <c r="AA3" s="72">
        <f t="shared" si="2"/>
        <v>863855.13292744814</v>
      </c>
      <c r="AB3" s="72">
        <f t="shared" si="2"/>
        <v>950051.37303204508</v>
      </c>
      <c r="AC3" s="72">
        <f t="shared" si="2"/>
        <v>1030786.3793254206</v>
      </c>
      <c r="AD3" s="72">
        <f t="shared" si="2"/>
        <v>1111073.5038718625</v>
      </c>
      <c r="AE3" s="72">
        <f t="shared" si="2"/>
        <v>1191882.9370480436</v>
      </c>
      <c r="AF3" s="72">
        <f t="shared" si="2"/>
        <v>1273514.1558421352</v>
      </c>
      <c r="AG3" s="72">
        <f t="shared" si="2"/>
        <v>1353963.1648685271</v>
      </c>
      <c r="AH3" s="72">
        <f t="shared" si="2"/>
        <v>1435440.1871444061</v>
      </c>
      <c r="AI3" s="72">
        <f t="shared" si="2"/>
        <v>1516725.3285738884</v>
      </c>
      <c r="AJ3" s="72">
        <f t="shared" si="2"/>
        <v>1575180.7175685633</v>
      </c>
      <c r="AK3" s="72">
        <f t="shared" si="2"/>
        <v>1637546.5705602735</v>
      </c>
      <c r="AL3" s="72">
        <f t="shared" si="2"/>
        <v>1702023.8179053399</v>
      </c>
      <c r="AM3" s="72">
        <f t="shared" si="2"/>
        <v>1768758.2357716446</v>
      </c>
      <c r="AN3" s="72">
        <f t="shared" si="2"/>
        <v>1837638.7287555847</v>
      </c>
      <c r="AO3" s="72">
        <f t="shared" si="2"/>
        <v>1909874.3952921676</v>
      </c>
      <c r="AP3" s="72">
        <f t="shared" si="2"/>
        <v>1985624.6324972727</v>
      </c>
      <c r="AQ3" s="72">
        <f t="shared" si="2"/>
        <v>2063016.9935516741</v>
      </c>
      <c r="AR3" s="72">
        <f t="shared" si="2"/>
        <v>2144602.9417794691</v>
      </c>
      <c r="AS3" s="72">
        <f t="shared" si="2"/>
        <v>2229534.5905435206</v>
      </c>
      <c r="AT3" s="72">
        <f t="shared" si="2"/>
        <v>2316631.4540810245</v>
      </c>
      <c r="AU3" s="72">
        <f t="shared" si="2"/>
        <v>2408019.4456941988</v>
      </c>
    </row>
    <row r="4" spans="1:47">
      <c r="A4" s="119"/>
      <c r="B4" s="119"/>
      <c r="C4" s="36" t="s">
        <v>14</v>
      </c>
      <c r="D4" s="78" t="s">
        <v>9</v>
      </c>
      <c r="E4" s="78"/>
      <c r="F4" s="79" t="s">
        <v>15</v>
      </c>
      <c r="G4" s="79"/>
      <c r="H4" s="74">
        <f>VLOOKUP($F4,raw_data!$1:$1048576,MATCH(H$1,raw_data!$1:$1,0),FALSE)</f>
        <v>192250</v>
      </c>
      <c r="I4" s="74">
        <f>VLOOKUP($F4,raw_data!$1:$1048576,MATCH(I$1,raw_data!$1:$1,0),FALSE)</f>
        <v>192885</v>
      </c>
      <c r="J4" s="74">
        <f>VLOOKUP($F4,raw_data!$1:$1048576,MATCH(J$1,raw_data!$1:$1,0),FALSE)</f>
        <v>183448</v>
      </c>
      <c r="K4" s="74">
        <f>VLOOKUP($F4,raw_data!$1:$1048576,MATCH(K$1,raw_data!$1:$1,0),FALSE)</f>
        <v>198394</v>
      </c>
      <c r="L4" s="74">
        <f>VLOOKUP($F4,raw_data!$1:$1048576,MATCH(L$1,raw_data!$1:$1,0),FALSE)</f>
        <v>215145</v>
      </c>
      <c r="M4" s="74">
        <f>VLOOKUP($F4,raw_data!$1:$1048576,MATCH(M$1,raw_data!$1:$1,0),FALSE)</f>
        <v>65506</v>
      </c>
      <c r="N4" s="74">
        <f>VLOOKUP($F4,raw_data!$1:$1048576,MATCH(N$1,raw_data!$1:$1,0),FALSE)</f>
        <v>162077</v>
      </c>
      <c r="O4" s="74">
        <f>VLOOKUP($F4,raw_data!$1:$1048576,MATCH(O$1,raw_data!$1:$1,0),FALSE)</f>
        <v>204292</v>
      </c>
      <c r="P4" s="74">
        <f>VLOOKUP($F4,raw_data!$1:$1048576,MATCH(P$1,raw_data!$1:$1,0),FALSE)</f>
        <v>227875</v>
      </c>
      <c r="Q4" s="74">
        <f>VLOOKUP($F4,raw_data!$1:$1048576,MATCH(Q$1,raw_data!$1:$1,0),FALSE)</f>
        <v>283461</v>
      </c>
      <c r="R4" s="72">
        <f t="shared" ref="R4:AU4" si="3">R2-R3</f>
        <v>326952.29406753456</v>
      </c>
      <c r="S4" s="72">
        <f t="shared" si="3"/>
        <v>349790.70469453681</v>
      </c>
      <c r="T4" s="72">
        <f t="shared" si="3"/>
        <v>383555.20318050496</v>
      </c>
      <c r="U4" s="72">
        <f t="shared" si="3"/>
        <v>431799.07317203167</v>
      </c>
      <c r="V4" s="72">
        <f t="shared" si="3"/>
        <v>476019.46303621866</v>
      </c>
      <c r="W4" s="72">
        <f t="shared" si="3"/>
        <v>524871.3223157092</v>
      </c>
      <c r="X4" s="72">
        <f t="shared" si="3"/>
        <v>567053.21231780865</v>
      </c>
      <c r="Y4" s="72">
        <f t="shared" si="3"/>
        <v>617568.45556665596</v>
      </c>
      <c r="Z4" s="72">
        <f t="shared" si="3"/>
        <v>677860.34215575643</v>
      </c>
      <c r="AA4" s="72">
        <f t="shared" si="3"/>
        <v>742959.5708794262</v>
      </c>
      <c r="AB4" s="72">
        <f t="shared" si="3"/>
        <v>815827.27691826224</v>
      </c>
      <c r="AC4" s="72">
        <f t="shared" si="3"/>
        <v>884496.45659413468</v>
      </c>
      <c r="AD4" s="72">
        <f t="shared" si="3"/>
        <v>954142.95806048554</v>
      </c>
      <c r="AE4" s="72">
        <f t="shared" si="3"/>
        <v>1024184.1508970987</v>
      </c>
      <c r="AF4" s="72">
        <f t="shared" si="3"/>
        <v>1093924.5581158097</v>
      </c>
      <c r="AG4" s="72">
        <f t="shared" si="3"/>
        <v>1162739.1751022111</v>
      </c>
      <c r="AH4" s="72">
        <f t="shared" si="3"/>
        <v>1232722.7788391248</v>
      </c>
      <c r="AI4" s="72">
        <f t="shared" si="3"/>
        <v>1302740.2634224358</v>
      </c>
      <c r="AJ4" s="72">
        <f t="shared" si="3"/>
        <v>1352998.5492548351</v>
      </c>
      <c r="AK4" s="72">
        <f t="shared" si="3"/>
        <v>1406452.6072093074</v>
      </c>
      <c r="AL4" s="72">
        <f t="shared" si="3"/>
        <v>1461795.5829687985</v>
      </c>
      <c r="AM4" s="72">
        <f t="shared" si="3"/>
        <v>1519142.7953401145</v>
      </c>
      <c r="AN4" s="72">
        <f t="shared" si="3"/>
        <v>1578338.7494522112</v>
      </c>
      <c r="AO4" s="72">
        <f t="shared" si="3"/>
        <v>1640373.435285225</v>
      </c>
      <c r="AP4" s="72">
        <f t="shared" si="3"/>
        <v>1705411.8186549481</v>
      </c>
      <c r="AQ4" s="72">
        <f t="shared" si="3"/>
        <v>1771883.0625138215</v>
      </c>
      <c r="AR4" s="72">
        <f t="shared" si="3"/>
        <v>1841965.0970585761</v>
      </c>
      <c r="AS4" s="72">
        <f t="shared" si="3"/>
        <v>1914915.3880143343</v>
      </c>
      <c r="AT4" s="72">
        <f t="shared" si="3"/>
        <v>1989717.323864507</v>
      </c>
      <c r="AU4" s="72">
        <f t="shared" si="3"/>
        <v>2068205.6704891138</v>
      </c>
    </row>
    <row r="5" spans="1:47">
      <c r="A5" s="119"/>
      <c r="B5" s="119"/>
      <c r="C5" s="36" t="s">
        <v>16</v>
      </c>
      <c r="D5" s="78" t="s">
        <v>9</v>
      </c>
      <c r="E5" s="78"/>
      <c r="F5" s="79" t="s">
        <v>17</v>
      </c>
      <c r="G5" s="79"/>
      <c r="H5" s="2">
        <f>VLOOKUP($F5,raw_data!$1:$1048576,MATCH(H$1,raw_data!$1:$1,0),FALSE)</f>
        <v>4469</v>
      </c>
      <c r="I5" s="2">
        <f>VLOOKUP($F5,raw_data!$1:$1048576,MATCH(I$1,raw_data!$1:$1,0),FALSE)</f>
        <v>7174</v>
      </c>
      <c r="J5" s="2">
        <f>VLOOKUP($F5,raw_data!$1:$1048576,MATCH(J$1,raw_data!$1:$1,0),FALSE)</f>
        <v>7308</v>
      </c>
      <c r="K5" s="2">
        <f>VLOOKUP($F5,raw_data!$1:$1048576,MATCH(K$1,raw_data!$1:$1,0),FALSE)</f>
        <v>5646</v>
      </c>
      <c r="L5" s="2">
        <f>VLOOKUP($F5,raw_data!$1:$1048576,MATCH(L$1,raw_data!$1:$1,0),FALSE)</f>
        <v>11025</v>
      </c>
      <c r="M5" s="2">
        <f>VLOOKUP($F5,raw_data!$1:$1048576,MATCH(M$1,raw_data!$1:$1,0),FALSE)</f>
        <v>0</v>
      </c>
      <c r="N5" s="2">
        <f>VLOOKUP($F5,raw_data!$1:$1048576,MATCH(N$1,raw_data!$1:$1,0),FALSE)</f>
        <v>0</v>
      </c>
      <c r="O5" s="2">
        <f>VLOOKUP($F5,raw_data!$1:$1048576,MATCH(O$1,raw_data!$1:$1,0),FALSE)</f>
        <v>3387</v>
      </c>
      <c r="P5" s="2">
        <f>VLOOKUP($F5,raw_data!$1:$1048576,MATCH(P$1,raw_data!$1:$1,0),FALSE)</f>
        <v>8780</v>
      </c>
      <c r="Q5" s="2">
        <f>VLOOKUP($F5,raw_data!$1:$1048576,MATCH(Q$1,raw_data!$1:$1,0),FALSE)</f>
        <v>13587</v>
      </c>
      <c r="R5" s="72">
        <f t="shared" ref="R5:AU5" si="4">R2*R10</f>
        <v>14738.221298426457</v>
      </c>
      <c r="S5" s="72">
        <f t="shared" si="4"/>
        <v>16267.29037595569</v>
      </c>
      <c r="T5" s="72">
        <f t="shared" si="4"/>
        <v>18019.434913527992</v>
      </c>
      <c r="U5" s="72">
        <f t="shared" si="4"/>
        <v>19865.30425157342</v>
      </c>
      <c r="V5" s="72">
        <f t="shared" si="4"/>
        <v>21877.590090542781</v>
      </c>
      <c r="W5" s="72">
        <f t="shared" si="4"/>
        <v>24194.983733386376</v>
      </c>
      <c r="X5" s="72">
        <f t="shared" si="4"/>
        <v>26258.203027888205</v>
      </c>
      <c r="Y5" s="72">
        <f t="shared" si="4"/>
        <v>28572.885321380836</v>
      </c>
      <c r="Z5" s="72">
        <f t="shared" si="4"/>
        <v>31267.450600329947</v>
      </c>
      <c r="AA5" s="72">
        <f t="shared" si="4"/>
        <v>34288.266757356148</v>
      </c>
      <c r="AB5" s="72">
        <f t="shared" si="4"/>
        <v>37682.576632615601</v>
      </c>
      <c r="AC5" s="72">
        <f t="shared" si="4"/>
        <v>40870.754193501882</v>
      </c>
      <c r="AD5" s="72">
        <f t="shared" si="4"/>
        <v>44070.229623023602</v>
      </c>
      <c r="AE5" s="72">
        <f t="shared" si="4"/>
        <v>47289.273171098168</v>
      </c>
      <c r="AF5" s="72">
        <f t="shared" si="4"/>
        <v>50519.434483367033</v>
      </c>
      <c r="AG5" s="72">
        <f t="shared" si="4"/>
        <v>53704.612596170788</v>
      </c>
      <c r="AH5" s="72">
        <f t="shared" si="4"/>
        <v>56936.673104242283</v>
      </c>
      <c r="AI5" s="72">
        <f t="shared" si="4"/>
        <v>60165.362006281786</v>
      </c>
      <c r="AJ5" s="72">
        <f t="shared" si="4"/>
        <v>62485.233410129244</v>
      </c>
      <c r="AK5" s="72">
        <f t="shared" si="4"/>
        <v>64956.746766913442</v>
      </c>
      <c r="AL5" s="72">
        <f t="shared" si="4"/>
        <v>67513.623899666389</v>
      </c>
      <c r="AM5" s="72">
        <f t="shared" si="4"/>
        <v>70161.436386815825</v>
      </c>
      <c r="AN5" s="72">
        <f t="shared" si="4"/>
        <v>72894.495384196736</v>
      </c>
      <c r="AO5" s="72">
        <f t="shared" si="4"/>
        <v>75759.727852349635</v>
      </c>
      <c r="AP5" s="72">
        <f t="shared" si="4"/>
        <v>78764.055462268079</v>
      </c>
      <c r="AQ5" s="72">
        <f t="shared" si="4"/>
        <v>81834.00101993217</v>
      </c>
      <c r="AR5" s="72">
        <f t="shared" si="4"/>
        <v>85070.486371687031</v>
      </c>
      <c r="AS5" s="72">
        <f t="shared" si="4"/>
        <v>88439.573082467046</v>
      </c>
      <c r="AT5" s="72">
        <f t="shared" si="4"/>
        <v>91894.376681132373</v>
      </c>
      <c r="AU5" s="72">
        <f t="shared" si="4"/>
        <v>95519.415204528894</v>
      </c>
    </row>
    <row r="6" spans="1:47">
      <c r="A6" s="119"/>
      <c r="B6" s="119"/>
      <c r="C6" s="36" t="s">
        <v>18</v>
      </c>
      <c r="D6" s="78" t="s">
        <v>9</v>
      </c>
      <c r="E6" s="78"/>
      <c r="F6" s="79" t="s">
        <v>19</v>
      </c>
      <c r="G6" s="79"/>
      <c r="H6" s="2">
        <f>VLOOKUP($F6,raw_data!$1:$1048576,MATCH(H$1,raw_data!$1:$1,0),FALSE)</f>
        <v>313080</v>
      </c>
      <c r="I6" s="2">
        <f>VLOOKUP($F6,raw_data!$1:$1048576,MATCH(I$1,raw_data!$1:$1,0),FALSE)</f>
        <v>289211</v>
      </c>
      <c r="J6" s="2">
        <f>VLOOKUP($F6,raw_data!$1:$1048576,MATCH(J$1,raw_data!$1:$1,0),FALSE)</f>
        <v>293221</v>
      </c>
      <c r="K6" s="2">
        <f>VLOOKUP($F6,raw_data!$1:$1048576,MATCH(K$1,raw_data!$1:$1,0),FALSE)</f>
        <v>355211</v>
      </c>
      <c r="L6" s="2">
        <f>VLOOKUP($F6,raw_data!$1:$1048576,MATCH(L$1,raw_data!$1:$1,0),FALSE)</f>
        <v>416560</v>
      </c>
      <c r="M6" s="2">
        <f>VLOOKUP($F6,raw_data!$1:$1048576,MATCH(M$1,raw_data!$1:$1,0),FALSE)</f>
        <v>119957</v>
      </c>
      <c r="N6" s="2">
        <f>VLOOKUP($F6,raw_data!$1:$1048576,MATCH(N$1,raw_data!$1:$1,0),FALSE)</f>
        <v>336251</v>
      </c>
      <c r="O6" s="2">
        <f>VLOOKUP($F6,raw_data!$1:$1048576,MATCH(O$1,raw_data!$1:$1,0),FALSE)</f>
        <v>499632</v>
      </c>
      <c r="P6" s="2">
        <f>VLOOKUP($F6,raw_data!$1:$1048576,MATCH(P$1,raw_data!$1:$1,0),FALSE)</f>
        <v>484997</v>
      </c>
      <c r="Q6" s="2">
        <f>VLOOKUP($F6,raw_data!$1:$1048576,MATCH(Q$1,raw_data!$1:$1,0),FALSE)</f>
        <v>587943</v>
      </c>
      <c r="R6" s="72">
        <f t="shared" ref="R6:AU6" si="5">R2-R5</f>
        <v>675923.42275188596</v>
      </c>
      <c r="S6" s="72">
        <f t="shared" si="5"/>
        <v>746049.49723402015</v>
      </c>
      <c r="T6" s="72">
        <f t="shared" si="5"/>
        <v>826406.2451082248</v>
      </c>
      <c r="U6" s="72">
        <f t="shared" si="5"/>
        <v>911061.39417004772</v>
      </c>
      <c r="V6" s="72">
        <f t="shared" si="5"/>
        <v>1003348.7268332192</v>
      </c>
      <c r="W6" s="72">
        <f t="shared" si="5"/>
        <v>1109628.8953296402</v>
      </c>
      <c r="X6" s="72">
        <f t="shared" si="5"/>
        <v>1204252.1350808509</v>
      </c>
      <c r="Y6" s="72">
        <f t="shared" si="5"/>
        <v>1310407.9558356775</v>
      </c>
      <c r="Z6" s="72">
        <f t="shared" si="5"/>
        <v>1433985.9473243877</v>
      </c>
      <c r="AA6" s="72">
        <f t="shared" si="5"/>
        <v>1572526.4370495181</v>
      </c>
      <c r="AB6" s="72">
        <f t="shared" si="5"/>
        <v>1728196.0733176917</v>
      </c>
      <c r="AC6" s="72">
        <f t="shared" si="5"/>
        <v>1874412.0817260535</v>
      </c>
      <c r="AD6" s="72">
        <f t="shared" si="5"/>
        <v>2021146.2323093244</v>
      </c>
      <c r="AE6" s="72">
        <f t="shared" si="5"/>
        <v>2168777.8147740443</v>
      </c>
      <c r="AF6" s="72">
        <f t="shared" si="5"/>
        <v>2316919.2794745779</v>
      </c>
      <c r="AG6" s="72">
        <f t="shared" si="5"/>
        <v>2462997.7273745672</v>
      </c>
      <c r="AH6" s="72">
        <f t="shared" si="5"/>
        <v>2611226.2928792886</v>
      </c>
      <c r="AI6" s="72">
        <f t="shared" si="5"/>
        <v>2759300.2299900423</v>
      </c>
      <c r="AJ6" s="72">
        <f t="shared" si="5"/>
        <v>2865694.0334132691</v>
      </c>
      <c r="AK6" s="72">
        <f t="shared" si="5"/>
        <v>2979042.4310026676</v>
      </c>
      <c r="AL6" s="72">
        <f t="shared" si="5"/>
        <v>3096305.7769744718</v>
      </c>
      <c r="AM6" s="72">
        <f t="shared" si="5"/>
        <v>3217739.5947249434</v>
      </c>
      <c r="AN6" s="72">
        <f t="shared" si="5"/>
        <v>3343082.9828235991</v>
      </c>
      <c r="AO6" s="72">
        <f t="shared" si="5"/>
        <v>3474488.102725043</v>
      </c>
      <c r="AP6" s="72">
        <f t="shared" si="5"/>
        <v>3612272.3956899527</v>
      </c>
      <c r="AQ6" s="72">
        <f t="shared" si="5"/>
        <v>3753066.0550455633</v>
      </c>
      <c r="AR6" s="72">
        <f t="shared" si="5"/>
        <v>3901497.5524663581</v>
      </c>
      <c r="AS6" s="72">
        <f t="shared" si="5"/>
        <v>4056010.4054753878</v>
      </c>
      <c r="AT6" s="72">
        <f t="shared" si="5"/>
        <v>4214454.4012643993</v>
      </c>
      <c r="AU6" s="72">
        <f t="shared" si="5"/>
        <v>4380705.7009787839</v>
      </c>
    </row>
    <row r="7" spans="1:47">
      <c r="A7" s="119"/>
      <c r="B7" s="119"/>
      <c r="C7" s="36" t="s">
        <v>20</v>
      </c>
      <c r="D7" s="78" t="s">
        <v>9</v>
      </c>
      <c r="E7" s="78"/>
      <c r="F7" s="79" t="s">
        <v>21</v>
      </c>
      <c r="G7" s="79"/>
      <c r="H7" s="2">
        <f>VLOOKUP($F7,raw_data!$1:$1048576,MATCH(H$1,raw_data!$1:$1,0),FALSE)</f>
        <v>317549</v>
      </c>
      <c r="I7" s="2">
        <f>VLOOKUP($F7,raw_data!$1:$1048576,MATCH(I$1,raw_data!$1:$1,0),FALSE)</f>
        <v>296385</v>
      </c>
      <c r="J7" s="2">
        <f>VLOOKUP($F7,raw_data!$1:$1048576,MATCH(J$1,raw_data!$1:$1,0),FALSE)</f>
        <v>300529</v>
      </c>
      <c r="K7" s="2">
        <f>VLOOKUP($F7,raw_data!$1:$1048576,MATCH(K$1,raw_data!$1:$1,0),FALSE)</f>
        <v>360857</v>
      </c>
      <c r="L7" s="2">
        <f>VLOOKUP($F7,raw_data!$1:$1048576,MATCH(L$1,raw_data!$1:$1,0),FALSE)</f>
        <v>427585</v>
      </c>
      <c r="M7" s="2">
        <f>VLOOKUP($F7,raw_data!$1:$1048576,MATCH(M$1,raw_data!$1:$1,0),FALSE)</f>
        <v>119957</v>
      </c>
      <c r="N7" s="2">
        <f>VLOOKUP($F7,raw_data!$1:$1048576,MATCH(N$1,raw_data!$1:$1,0),FALSE)</f>
        <v>336251</v>
      </c>
      <c r="O7" s="2">
        <f>VLOOKUP($F7,raw_data!$1:$1048576,MATCH(O$1,raw_data!$1:$1,0),FALSE)</f>
        <v>503019</v>
      </c>
      <c r="P7" s="2">
        <f>VLOOKUP($F7,raw_data!$1:$1048576,MATCH(P$1,raw_data!$1:$1,0),FALSE)</f>
        <v>493777</v>
      </c>
      <c r="Q7" s="2">
        <f>VLOOKUP($F7,raw_data!$1:$1048576,MATCH(Q$1,raw_data!$1:$1,0),FALSE)</f>
        <v>601530</v>
      </c>
      <c r="R7" s="72">
        <f t="shared" ref="R7:AU7" si="6">R2*R11</f>
        <v>690661.64405031246</v>
      </c>
      <c r="S7" s="72">
        <f t="shared" si="6"/>
        <v>762316.78760997579</v>
      </c>
      <c r="T7" s="72">
        <f t="shared" si="6"/>
        <v>844425.68002175284</v>
      </c>
      <c r="U7" s="72">
        <f t="shared" si="6"/>
        <v>930926.69842162111</v>
      </c>
      <c r="V7" s="72">
        <f t="shared" si="6"/>
        <v>1025226.316923762</v>
      </c>
      <c r="W7" s="72">
        <f t="shared" si="6"/>
        <v>1133823.8790630265</v>
      </c>
      <c r="X7" s="72">
        <f t="shared" si="6"/>
        <v>1230510.3381087391</v>
      </c>
      <c r="Y7" s="72">
        <f t="shared" si="6"/>
        <v>1338980.8411570583</v>
      </c>
      <c r="Z7" s="72">
        <f t="shared" si="6"/>
        <v>1465253.3979247177</v>
      </c>
      <c r="AA7" s="72">
        <f t="shared" si="6"/>
        <v>1606814.7038068743</v>
      </c>
      <c r="AB7" s="72">
        <f t="shared" si="6"/>
        <v>1765878.6499503073</v>
      </c>
      <c r="AC7" s="72">
        <f t="shared" si="6"/>
        <v>1915282.8359195553</v>
      </c>
      <c r="AD7" s="72">
        <f t="shared" si="6"/>
        <v>2065216.4619323481</v>
      </c>
      <c r="AE7" s="72">
        <f t="shared" si="6"/>
        <v>2216067.0879451423</v>
      </c>
      <c r="AF7" s="72">
        <f t="shared" si="6"/>
        <v>2367438.7139579449</v>
      </c>
      <c r="AG7" s="72">
        <f t="shared" si="6"/>
        <v>2516702.3399707382</v>
      </c>
      <c r="AH7" s="72">
        <f t="shared" si="6"/>
        <v>2668162.965983531</v>
      </c>
      <c r="AI7" s="72">
        <f t="shared" si="6"/>
        <v>2819465.5919963242</v>
      </c>
      <c r="AJ7" s="72">
        <f t="shared" si="6"/>
        <v>2928179.2668233984</v>
      </c>
      <c r="AK7" s="72">
        <f t="shared" si="6"/>
        <v>3043999.1777695809</v>
      </c>
      <c r="AL7" s="72">
        <f t="shared" si="6"/>
        <v>3163819.4008741383</v>
      </c>
      <c r="AM7" s="72">
        <f t="shared" si="6"/>
        <v>3287901.0311117591</v>
      </c>
      <c r="AN7" s="72">
        <f t="shared" si="6"/>
        <v>3415977.4782077959</v>
      </c>
      <c r="AO7" s="72">
        <f t="shared" si="6"/>
        <v>3550247.8305773926</v>
      </c>
      <c r="AP7" s="72">
        <f t="shared" si="6"/>
        <v>3691036.4511522208</v>
      </c>
      <c r="AQ7" s="72">
        <f t="shared" si="6"/>
        <v>3834900.0560654956</v>
      </c>
      <c r="AR7" s="72">
        <f t="shared" si="6"/>
        <v>3986568.0388380452</v>
      </c>
      <c r="AS7" s="72">
        <f t="shared" si="6"/>
        <v>4144449.9785578549</v>
      </c>
      <c r="AT7" s="72">
        <f t="shared" si="6"/>
        <v>4306348.7779455315</v>
      </c>
      <c r="AU7" s="72">
        <f t="shared" si="6"/>
        <v>4476225.1161833126</v>
      </c>
    </row>
    <row r="8" spans="1:47">
      <c r="A8" s="119"/>
      <c r="B8" s="119"/>
      <c r="C8" s="39" t="s">
        <v>22</v>
      </c>
      <c r="D8" s="80" t="s">
        <v>9</v>
      </c>
      <c r="E8" s="80"/>
      <c r="F8" s="81" t="s">
        <v>23</v>
      </c>
      <c r="G8" s="81"/>
      <c r="H8" s="14">
        <f>VLOOKUP($F8,raw_data!$1:$1048576,MATCH(H$1,raw_data!$1:$1,0),FALSE)</f>
        <v>0</v>
      </c>
      <c r="I8" s="14">
        <f>VLOOKUP($F8,raw_data!$1:$1048576,MATCH(I$1,raw_data!$1:$1,0),FALSE)</f>
        <v>0</v>
      </c>
      <c r="J8" s="14">
        <f>VLOOKUP($F8,raw_data!$1:$1048576,MATCH(J$1,raw_data!$1:$1,0),FALSE)</f>
        <v>0</v>
      </c>
      <c r="K8" s="14">
        <f>VLOOKUP($F8,raw_data!$1:$1048576,MATCH(K$1,raw_data!$1:$1,0),FALSE)</f>
        <v>0</v>
      </c>
      <c r="L8" s="14">
        <f>VLOOKUP($F8,raw_data!$1:$1048576,MATCH(L$1,raw_data!$1:$1,0),FALSE)</f>
        <v>0</v>
      </c>
      <c r="M8" s="14">
        <f>VLOOKUP($F8,raw_data!$1:$1048576,MATCH(M$1,raw_data!$1:$1,0),FALSE)</f>
        <v>0</v>
      </c>
      <c r="N8" s="14">
        <f>VLOOKUP($F8,raw_data!$1:$1048576,MATCH(N$1,raw_data!$1:$1,0),FALSE)</f>
        <v>0</v>
      </c>
      <c r="O8" s="14">
        <f>VLOOKUP($F8,raw_data!$1:$1048576,MATCH(O$1,raw_data!$1:$1,0),FALSE)</f>
        <v>0</v>
      </c>
      <c r="P8" s="14">
        <f>VLOOKUP($F8,raw_data!$1:$1048576,MATCH(P$1,raw_data!$1:$1,0),FALSE)</f>
        <v>0</v>
      </c>
      <c r="Q8" s="14">
        <f>VLOOKUP($F8,raw_data!$1:$1048576,MATCH(Q$1,raw_data!$1:$1,0),FALSE)</f>
        <v>0</v>
      </c>
      <c r="R8" s="15">
        <f t="shared" ref="R8:AU8" si="7">R2-R7</f>
        <v>0</v>
      </c>
      <c r="S8" s="15">
        <f t="shared" si="7"/>
        <v>0</v>
      </c>
      <c r="T8" s="15">
        <f t="shared" si="7"/>
        <v>0</v>
      </c>
      <c r="U8" s="15">
        <f t="shared" si="7"/>
        <v>0</v>
      </c>
      <c r="V8" s="15">
        <f t="shared" si="7"/>
        <v>0</v>
      </c>
      <c r="W8" s="15">
        <f t="shared" si="7"/>
        <v>0</v>
      </c>
      <c r="X8" s="15">
        <f t="shared" si="7"/>
        <v>0</v>
      </c>
      <c r="Y8" s="15">
        <f t="shared" si="7"/>
        <v>0</v>
      </c>
      <c r="Z8" s="15">
        <f t="shared" si="7"/>
        <v>0</v>
      </c>
      <c r="AA8" s="15">
        <f t="shared" si="7"/>
        <v>0</v>
      </c>
      <c r="AB8" s="15">
        <f t="shared" si="7"/>
        <v>0</v>
      </c>
      <c r="AC8" s="15">
        <f t="shared" si="7"/>
        <v>0</v>
      </c>
      <c r="AD8" s="15">
        <f t="shared" si="7"/>
        <v>0</v>
      </c>
      <c r="AE8" s="15">
        <f t="shared" si="7"/>
        <v>0</v>
      </c>
      <c r="AF8" s="15">
        <f t="shared" si="7"/>
        <v>0</v>
      </c>
      <c r="AG8" s="15">
        <f t="shared" si="7"/>
        <v>0</v>
      </c>
      <c r="AH8" s="15">
        <f t="shared" si="7"/>
        <v>0</v>
      </c>
      <c r="AI8" s="15">
        <f t="shared" si="7"/>
        <v>0</v>
      </c>
      <c r="AJ8" s="15">
        <f t="shared" si="7"/>
        <v>0</v>
      </c>
      <c r="AK8" s="15">
        <f t="shared" si="7"/>
        <v>0</v>
      </c>
      <c r="AL8" s="15">
        <f t="shared" si="7"/>
        <v>0</v>
      </c>
      <c r="AM8" s="15">
        <f t="shared" si="7"/>
        <v>0</v>
      </c>
      <c r="AN8" s="15">
        <f t="shared" si="7"/>
        <v>0</v>
      </c>
      <c r="AO8" s="15">
        <f t="shared" si="7"/>
        <v>0</v>
      </c>
      <c r="AP8" s="15">
        <f t="shared" si="7"/>
        <v>0</v>
      </c>
      <c r="AQ8" s="15">
        <f t="shared" si="7"/>
        <v>0</v>
      </c>
      <c r="AR8" s="15">
        <f t="shared" si="7"/>
        <v>0</v>
      </c>
      <c r="AS8" s="15">
        <f t="shared" si="7"/>
        <v>0</v>
      </c>
      <c r="AT8" s="15">
        <f t="shared" si="7"/>
        <v>0</v>
      </c>
      <c r="AU8" s="15">
        <f t="shared" si="7"/>
        <v>0</v>
      </c>
    </row>
    <row r="9" spans="1:47">
      <c r="A9" s="119"/>
      <c r="B9" s="119"/>
      <c r="C9" s="40" t="s">
        <v>24</v>
      </c>
      <c r="D9" s="76" t="s">
        <v>25</v>
      </c>
      <c r="E9" s="76" t="s">
        <v>10</v>
      </c>
      <c r="F9" s="82"/>
      <c r="G9" s="82">
        <f>IFERROR(SUMIF($H$145:$Q$145,"O",H9:Q9)/COUNTIFS($H$145:$Q$145,"O",H9:Q9,"&lt;&gt;0"),0)</f>
        <v>0.49193929404176373</v>
      </c>
      <c r="H9" s="45">
        <f t="shared" ref="H9:Q9" si="8">H3/H2</f>
        <v>0.39458162362344079</v>
      </c>
      <c r="I9" s="45">
        <f t="shared" si="8"/>
        <v>0.34920795586821196</v>
      </c>
      <c r="J9" s="45">
        <f t="shared" si="8"/>
        <v>0.38958303524784632</v>
      </c>
      <c r="K9" s="45">
        <f t="shared" si="8"/>
        <v>0.45021435083703515</v>
      </c>
      <c r="L9" s="45">
        <f t="shared" si="8"/>
        <v>0.49683688623314665</v>
      </c>
      <c r="M9" s="45">
        <f t="shared" si="8"/>
        <v>0.45392098835416023</v>
      </c>
      <c r="N9" s="45">
        <f t="shared" si="8"/>
        <v>0.51798805059315811</v>
      </c>
      <c r="O9" s="45">
        <f t="shared" si="8"/>
        <v>0.59386822366550762</v>
      </c>
      <c r="P9" s="45">
        <f t="shared" si="8"/>
        <v>0.53850624877221909</v>
      </c>
      <c r="Q9" s="45">
        <f t="shared" si="8"/>
        <v>0.52876664505510951</v>
      </c>
      <c r="R9" s="73">
        <f>AVERAGE(M9:Q9)</f>
        <v>0.52661003128803086</v>
      </c>
      <c r="S9" s="73">
        <f t="shared" ref="S9:AU9" si="9">AVERAGE(N9:R9)</f>
        <v>0.54114783987480508</v>
      </c>
      <c r="T9" s="73">
        <f t="shared" si="9"/>
        <v>0.54577979773113439</v>
      </c>
      <c r="U9" s="73">
        <f t="shared" si="9"/>
        <v>0.53616211254425983</v>
      </c>
      <c r="V9" s="73">
        <f t="shared" si="9"/>
        <v>0.53569328529866789</v>
      </c>
      <c r="W9" s="73">
        <f t="shared" si="9"/>
        <v>0.53707861334737961</v>
      </c>
      <c r="X9" s="73">
        <f t="shared" si="9"/>
        <v>0.53917232975924934</v>
      </c>
      <c r="Y9" s="73">
        <f t="shared" si="9"/>
        <v>0.53877722773613823</v>
      </c>
      <c r="Z9" s="73">
        <f t="shared" si="9"/>
        <v>0.53737671373713902</v>
      </c>
      <c r="AA9" s="73">
        <f t="shared" si="9"/>
        <v>0.53761963397571466</v>
      </c>
      <c r="AB9" s="73">
        <f t="shared" si="9"/>
        <v>0.53800490371112419</v>
      </c>
      <c r="AC9" s="73">
        <f t="shared" si="9"/>
        <v>0.53819016178387302</v>
      </c>
      <c r="AD9" s="73">
        <f t="shared" si="9"/>
        <v>0.53799372818879787</v>
      </c>
      <c r="AE9" s="73">
        <f t="shared" si="9"/>
        <v>0.53783702827932978</v>
      </c>
      <c r="AF9" s="73">
        <f t="shared" si="9"/>
        <v>0.53792909118776788</v>
      </c>
      <c r="AG9" s="73">
        <f t="shared" si="9"/>
        <v>0.53799098263017853</v>
      </c>
      <c r="AH9" s="73">
        <f t="shared" si="9"/>
        <v>0.53798819841398937</v>
      </c>
      <c r="AI9" s="73">
        <f t="shared" si="9"/>
        <v>0.53794780574001266</v>
      </c>
      <c r="AJ9" s="73">
        <f t="shared" si="9"/>
        <v>0.5379386212502556</v>
      </c>
      <c r="AK9" s="73">
        <f t="shared" si="9"/>
        <v>0.53795893984444088</v>
      </c>
      <c r="AL9" s="73">
        <f t="shared" si="9"/>
        <v>0.53796490957577547</v>
      </c>
      <c r="AM9" s="73">
        <f t="shared" si="9"/>
        <v>0.53795969496489471</v>
      </c>
      <c r="AN9" s="73">
        <f t="shared" si="9"/>
        <v>0.53795399427507584</v>
      </c>
      <c r="AO9" s="73">
        <f t="shared" si="9"/>
        <v>0.5379552319820885</v>
      </c>
      <c r="AP9" s="73">
        <f t="shared" si="9"/>
        <v>0.53795855412845506</v>
      </c>
      <c r="AQ9" s="73">
        <f t="shared" si="9"/>
        <v>0.53795847698525789</v>
      </c>
      <c r="AR9" s="73">
        <f t="shared" si="9"/>
        <v>0.53795719046715451</v>
      </c>
      <c r="AS9" s="73">
        <f t="shared" si="9"/>
        <v>0.53795668956760634</v>
      </c>
      <c r="AT9" s="73">
        <f t="shared" si="9"/>
        <v>0.5379572286261125</v>
      </c>
      <c r="AU9" s="73">
        <f t="shared" si="9"/>
        <v>0.53795762795491731</v>
      </c>
    </row>
    <row r="10" spans="1:47">
      <c r="A10" s="119"/>
      <c r="B10" s="119"/>
      <c r="C10" s="36" t="s">
        <v>26</v>
      </c>
      <c r="D10" s="78" t="s">
        <v>25</v>
      </c>
      <c r="E10" s="78" t="s">
        <v>10</v>
      </c>
      <c r="F10" s="83"/>
      <c r="G10" s="83">
        <f>IFERROR(SUMIF($H$145:$Q$145,"O",H10:Q10)/COUNTIFS($H$145:$Q$145,"O",H10:Q10,"&lt;&gt;0"),0)</f>
        <v>2.1339278683547142E-2</v>
      </c>
      <c r="H10" s="45">
        <f t="shared" ref="H10:Q10" si="10">H5/H2</f>
        <v>1.4073418590516739E-2</v>
      </c>
      <c r="I10" s="45">
        <f t="shared" si="10"/>
        <v>2.4205003627039156E-2</v>
      </c>
      <c r="J10" s="45">
        <f t="shared" si="10"/>
        <v>2.4317120810304495E-2</v>
      </c>
      <c r="K10" s="45">
        <f t="shared" si="10"/>
        <v>1.5646086954112015E-2</v>
      </c>
      <c r="L10" s="45">
        <f t="shared" si="10"/>
        <v>2.5784346971947099E-2</v>
      </c>
      <c r="M10" s="45">
        <f t="shared" si="10"/>
        <v>0</v>
      </c>
      <c r="N10" s="45">
        <f t="shared" si="10"/>
        <v>0</v>
      </c>
      <c r="O10" s="45">
        <f t="shared" si="10"/>
        <v>6.733344068514311E-3</v>
      </c>
      <c r="P10" s="45">
        <f t="shared" si="10"/>
        <v>1.7781306136170783E-2</v>
      </c>
      <c r="Q10" s="45">
        <f t="shared" si="10"/>
        <v>2.2587402124582316E-2</v>
      </c>
      <c r="R10" s="73">
        <f>G10</f>
        <v>2.1339278683547142E-2</v>
      </c>
      <c r="S10" s="73">
        <f t="shared" ref="S10:AU10" si="11">R10</f>
        <v>2.1339278683547142E-2</v>
      </c>
      <c r="T10" s="73">
        <f t="shared" si="11"/>
        <v>2.1339278683547142E-2</v>
      </c>
      <c r="U10" s="73">
        <f t="shared" si="11"/>
        <v>2.1339278683547142E-2</v>
      </c>
      <c r="V10" s="73">
        <f t="shared" si="11"/>
        <v>2.1339278683547142E-2</v>
      </c>
      <c r="W10" s="73">
        <f t="shared" si="11"/>
        <v>2.1339278683547142E-2</v>
      </c>
      <c r="X10" s="73">
        <f t="shared" si="11"/>
        <v>2.1339278683547142E-2</v>
      </c>
      <c r="Y10" s="73">
        <f t="shared" si="11"/>
        <v>2.1339278683547142E-2</v>
      </c>
      <c r="Z10" s="73">
        <f t="shared" si="11"/>
        <v>2.1339278683547142E-2</v>
      </c>
      <c r="AA10" s="73">
        <f t="shared" si="11"/>
        <v>2.1339278683547142E-2</v>
      </c>
      <c r="AB10" s="73">
        <f t="shared" si="11"/>
        <v>2.1339278683547142E-2</v>
      </c>
      <c r="AC10" s="73">
        <f t="shared" si="11"/>
        <v>2.1339278683547142E-2</v>
      </c>
      <c r="AD10" s="73">
        <f t="shared" si="11"/>
        <v>2.1339278683547142E-2</v>
      </c>
      <c r="AE10" s="73">
        <f t="shared" si="11"/>
        <v>2.1339278683547142E-2</v>
      </c>
      <c r="AF10" s="73">
        <f t="shared" si="11"/>
        <v>2.1339278683547142E-2</v>
      </c>
      <c r="AG10" s="73">
        <f t="shared" si="11"/>
        <v>2.1339278683547142E-2</v>
      </c>
      <c r="AH10" s="73">
        <f t="shared" si="11"/>
        <v>2.1339278683547142E-2</v>
      </c>
      <c r="AI10" s="73">
        <f t="shared" si="11"/>
        <v>2.1339278683547142E-2</v>
      </c>
      <c r="AJ10" s="73">
        <f t="shared" si="11"/>
        <v>2.1339278683547142E-2</v>
      </c>
      <c r="AK10" s="73">
        <f t="shared" si="11"/>
        <v>2.1339278683547142E-2</v>
      </c>
      <c r="AL10" s="73">
        <f t="shared" si="11"/>
        <v>2.1339278683547142E-2</v>
      </c>
      <c r="AM10" s="73">
        <f t="shared" si="11"/>
        <v>2.1339278683547142E-2</v>
      </c>
      <c r="AN10" s="73">
        <f t="shared" si="11"/>
        <v>2.1339278683547142E-2</v>
      </c>
      <c r="AO10" s="73">
        <f t="shared" si="11"/>
        <v>2.1339278683547142E-2</v>
      </c>
      <c r="AP10" s="73">
        <f t="shared" si="11"/>
        <v>2.1339278683547142E-2</v>
      </c>
      <c r="AQ10" s="73">
        <f t="shared" si="11"/>
        <v>2.1339278683547142E-2</v>
      </c>
      <c r="AR10" s="73">
        <f t="shared" si="11"/>
        <v>2.1339278683547142E-2</v>
      </c>
      <c r="AS10" s="73">
        <f t="shared" si="11"/>
        <v>2.1339278683547142E-2</v>
      </c>
      <c r="AT10" s="73">
        <f t="shared" si="11"/>
        <v>2.1339278683547142E-2</v>
      </c>
      <c r="AU10" s="73">
        <f t="shared" si="11"/>
        <v>2.1339278683547142E-2</v>
      </c>
    </row>
    <row r="11" spans="1:47">
      <c r="A11" s="119"/>
      <c r="B11" s="119"/>
      <c r="C11" s="39" t="s">
        <v>27</v>
      </c>
      <c r="D11" s="80" t="s">
        <v>25</v>
      </c>
      <c r="E11" s="80" t="s">
        <v>10</v>
      </c>
      <c r="F11" s="84"/>
      <c r="G11" s="84">
        <f>IFERROR(SUMIF($H$145:$Q$145,"O",H11:Q11)/COUNTIFS($H$145:$Q$145,"O",H11:Q11,"&lt;&gt;0"),0)</f>
        <v>1</v>
      </c>
      <c r="H11" s="45">
        <f t="shared" ref="H11:Q11" si="12">H7/H2</f>
        <v>1</v>
      </c>
      <c r="I11" s="45">
        <f t="shared" si="12"/>
        <v>1</v>
      </c>
      <c r="J11" s="45">
        <f t="shared" si="12"/>
        <v>1</v>
      </c>
      <c r="K11" s="45">
        <f t="shared" si="12"/>
        <v>1</v>
      </c>
      <c r="L11" s="45">
        <f t="shared" si="12"/>
        <v>1</v>
      </c>
      <c r="M11" s="45">
        <f t="shared" si="12"/>
        <v>1</v>
      </c>
      <c r="N11" s="45">
        <f t="shared" si="12"/>
        <v>1</v>
      </c>
      <c r="O11" s="45">
        <f t="shared" si="12"/>
        <v>1</v>
      </c>
      <c r="P11" s="45">
        <f t="shared" si="12"/>
        <v>1</v>
      </c>
      <c r="Q11" s="45">
        <f t="shared" si="12"/>
        <v>1</v>
      </c>
      <c r="R11" s="73">
        <f>G11</f>
        <v>1</v>
      </c>
      <c r="S11" s="73">
        <f t="shared" ref="S11:AU11" si="13">R11</f>
        <v>1</v>
      </c>
      <c r="T11" s="73">
        <f t="shared" si="13"/>
        <v>1</v>
      </c>
      <c r="U11" s="73">
        <f t="shared" si="13"/>
        <v>1</v>
      </c>
      <c r="V11" s="73">
        <f t="shared" si="13"/>
        <v>1</v>
      </c>
      <c r="W11" s="73">
        <f t="shared" si="13"/>
        <v>1</v>
      </c>
      <c r="X11" s="73">
        <f t="shared" si="13"/>
        <v>1</v>
      </c>
      <c r="Y11" s="73">
        <f t="shared" si="13"/>
        <v>1</v>
      </c>
      <c r="Z11" s="73">
        <f t="shared" si="13"/>
        <v>1</v>
      </c>
      <c r="AA11" s="73">
        <f t="shared" si="13"/>
        <v>1</v>
      </c>
      <c r="AB11" s="73">
        <f t="shared" si="13"/>
        <v>1</v>
      </c>
      <c r="AC11" s="73">
        <f t="shared" si="13"/>
        <v>1</v>
      </c>
      <c r="AD11" s="73">
        <f t="shared" si="13"/>
        <v>1</v>
      </c>
      <c r="AE11" s="73">
        <f t="shared" si="13"/>
        <v>1</v>
      </c>
      <c r="AF11" s="73">
        <f t="shared" si="13"/>
        <v>1</v>
      </c>
      <c r="AG11" s="73">
        <f t="shared" si="13"/>
        <v>1</v>
      </c>
      <c r="AH11" s="73">
        <f t="shared" si="13"/>
        <v>1</v>
      </c>
      <c r="AI11" s="73">
        <f t="shared" si="13"/>
        <v>1</v>
      </c>
      <c r="AJ11" s="73">
        <f t="shared" si="13"/>
        <v>1</v>
      </c>
      <c r="AK11" s="73">
        <f t="shared" si="13"/>
        <v>1</v>
      </c>
      <c r="AL11" s="73">
        <f t="shared" si="13"/>
        <v>1</v>
      </c>
      <c r="AM11" s="73">
        <f t="shared" si="13"/>
        <v>1</v>
      </c>
      <c r="AN11" s="73">
        <f t="shared" si="13"/>
        <v>1</v>
      </c>
      <c r="AO11" s="73">
        <f t="shared" si="13"/>
        <v>1</v>
      </c>
      <c r="AP11" s="73">
        <f t="shared" si="13"/>
        <v>1</v>
      </c>
      <c r="AQ11" s="73">
        <f t="shared" si="13"/>
        <v>1</v>
      </c>
      <c r="AR11" s="73">
        <f t="shared" si="13"/>
        <v>1</v>
      </c>
      <c r="AS11" s="73">
        <f t="shared" si="13"/>
        <v>1</v>
      </c>
      <c r="AT11" s="73">
        <f t="shared" si="13"/>
        <v>1</v>
      </c>
      <c r="AU11" s="73">
        <f t="shared" si="13"/>
        <v>1</v>
      </c>
    </row>
    <row r="12" spans="1:47">
      <c r="A12" s="119"/>
      <c r="B12" s="119"/>
      <c r="C12" s="36" t="s">
        <v>28</v>
      </c>
      <c r="D12" s="78" t="s">
        <v>9</v>
      </c>
      <c r="E12" s="78"/>
      <c r="F12" s="85"/>
      <c r="G12" s="85"/>
      <c r="H12" s="67">
        <f t="shared" ref="H12:AM12" si="14">H13*H20</f>
        <v>372766.99999999994</v>
      </c>
      <c r="I12" s="67">
        <f t="shared" si="14"/>
        <v>362139.00000000012</v>
      </c>
      <c r="J12" s="67">
        <f t="shared" si="14"/>
        <v>377075.99999999988</v>
      </c>
      <c r="K12" s="67">
        <f t="shared" si="14"/>
        <v>451047</v>
      </c>
      <c r="L12" s="67">
        <f t="shared" si="14"/>
        <v>538748.99999999977</v>
      </c>
      <c r="M12" s="67">
        <f t="shared" si="14"/>
        <v>160120.00000000003</v>
      </c>
      <c r="N12" s="67">
        <f t="shared" si="14"/>
        <v>412028.99999999994</v>
      </c>
      <c r="O12" s="67">
        <f t="shared" si="14"/>
        <v>608137.99999999988</v>
      </c>
      <c r="P12" s="67">
        <f t="shared" si="14"/>
        <v>605197.99999999988</v>
      </c>
      <c r="Q12" s="67">
        <f t="shared" si="14"/>
        <v>788358</v>
      </c>
      <c r="R12" s="67">
        <f t="shared" si="14"/>
        <v>879180.87252598361</v>
      </c>
      <c r="S12" s="67">
        <f t="shared" si="14"/>
        <v>970394.61253667157</v>
      </c>
      <c r="T12" s="67">
        <f t="shared" si="14"/>
        <v>1074915.4995652114</v>
      </c>
      <c r="U12" s="67">
        <f t="shared" si="14"/>
        <v>1185027.3632922817</v>
      </c>
      <c r="V12" s="67">
        <f t="shared" si="14"/>
        <v>1305066.4903927583</v>
      </c>
      <c r="W12" s="67">
        <f t="shared" si="14"/>
        <v>1443306.2496993258</v>
      </c>
      <c r="X12" s="67">
        <f t="shared" si="14"/>
        <v>1566383.7162960737</v>
      </c>
      <c r="Y12" s="67">
        <f t="shared" si="14"/>
        <v>1704461.7351565023</v>
      </c>
      <c r="Z12" s="67">
        <f t="shared" si="14"/>
        <v>1865200.9590462693</v>
      </c>
      <c r="AA12" s="67">
        <f t="shared" si="14"/>
        <v>2045402.0654686866</v>
      </c>
      <c r="AB12" s="67">
        <f t="shared" si="14"/>
        <v>2247883.2372009079</v>
      </c>
      <c r="AC12" s="67">
        <f t="shared" si="14"/>
        <v>2438067.9734042534</v>
      </c>
      <c r="AD12" s="67">
        <f t="shared" si="14"/>
        <v>2628926.662712486</v>
      </c>
      <c r="AE12" s="67">
        <f t="shared" si="14"/>
        <v>2820952.6513300878</v>
      </c>
      <c r="AF12" s="67">
        <f t="shared" si="14"/>
        <v>3013641.8492608736</v>
      </c>
      <c r="AG12" s="67">
        <f t="shared" si="14"/>
        <v>3203647.6590300924</v>
      </c>
      <c r="AH12" s="67">
        <f t="shared" si="14"/>
        <v>3396450.1499145562</v>
      </c>
      <c r="AI12" s="67">
        <f t="shared" si="14"/>
        <v>3589051.513982357</v>
      </c>
      <c r="AJ12" s="67">
        <f t="shared" si="14"/>
        <v>3727439.0794615406</v>
      </c>
      <c r="AK12" s="67">
        <f t="shared" si="14"/>
        <v>3874872.5604413073</v>
      </c>
      <c r="AL12" s="67">
        <f t="shared" si="14"/>
        <v>4027398.2569278623</v>
      </c>
      <c r="AM12" s="67">
        <f t="shared" si="14"/>
        <v>4185348.5309535195</v>
      </c>
      <c r="AN12" s="67">
        <f t="shared" ref="AN12:AU12" si="15">AN13*AN20</f>
        <v>4348384.0252189562</v>
      </c>
      <c r="AO12" s="67">
        <f t="shared" si="15"/>
        <v>4519304.0792969465</v>
      </c>
      <c r="AP12" s="67">
        <f t="shared" si="15"/>
        <v>4698521.592452622</v>
      </c>
      <c r="AQ12" s="67">
        <f t="shared" si="15"/>
        <v>4881653.4208695656</v>
      </c>
      <c r="AR12" s="67">
        <f t="shared" si="15"/>
        <v>5074719.8674818994</v>
      </c>
      <c r="AS12" s="67">
        <f t="shared" si="15"/>
        <v>5275696.398775775</v>
      </c>
      <c r="AT12" s="67">
        <f t="shared" si="15"/>
        <v>5481786.2098037032</v>
      </c>
      <c r="AU12" s="67">
        <f t="shared" si="15"/>
        <v>5698031.0650957273</v>
      </c>
    </row>
    <row r="13" spans="1:47">
      <c r="A13" s="119"/>
      <c r="B13" s="119"/>
      <c r="C13" s="36" t="s">
        <v>29</v>
      </c>
      <c r="D13" s="78" t="s">
        <v>9</v>
      </c>
      <c r="E13" s="78"/>
      <c r="F13" s="85" t="s">
        <v>30</v>
      </c>
      <c r="G13" s="85"/>
      <c r="H13" s="2">
        <f>VLOOKUP($F13,raw_data!$1:$1048576,MATCH(H$1,raw_data!$1:$1,0),FALSE)</f>
        <v>131.48747795414459</v>
      </c>
      <c r="I13" s="2">
        <f>VLOOKUP($F13,raw_data!$1:$1048576,MATCH(I$1,raw_data!$1:$1,0),FALSE)</f>
        <v>130.6889209671599</v>
      </c>
      <c r="J13" s="2">
        <f>VLOOKUP($F13,raw_data!$1:$1048576,MATCH(J$1,raw_data!$1:$1,0),FALSE)</f>
        <v>124.6120290812954</v>
      </c>
      <c r="K13" s="2">
        <f>VLOOKUP($F13,raw_data!$1:$1048576,MATCH(K$1,raw_data!$1:$1,0),FALSE)</f>
        <v>161.60766750268721</v>
      </c>
      <c r="L13" s="2">
        <f>VLOOKUP($F13,raw_data!$1:$1048576,MATCH(L$1,raw_data!$1:$1,0),FALSE)</f>
        <v>166.74373259052919</v>
      </c>
      <c r="M13" s="2">
        <f>VLOOKUP($F13,raw_data!$1:$1048576,MATCH(M$1,raw_data!$1:$1,0),FALSE)</f>
        <v>164.56320657759511</v>
      </c>
      <c r="N13" s="2">
        <f>VLOOKUP($F13,raw_data!$1:$1048576,MATCH(N$1,raw_data!$1:$1,0),FALSE)</f>
        <v>166.27481840193701</v>
      </c>
      <c r="O13" s="2">
        <f>VLOOKUP($F13,raw_data!$1:$1048576,MATCH(O$1,raw_data!$1:$1,0),FALSE)</f>
        <v>152.1486114585939</v>
      </c>
      <c r="P13" s="2">
        <f>VLOOKUP($F13,raw_data!$1:$1048576,MATCH(P$1,raw_data!$1:$1,0),FALSE)</f>
        <v>163.0382543103448</v>
      </c>
      <c r="Q13" s="2">
        <f>VLOOKUP($F13,raw_data!$1:$1048576,MATCH(Q$1,raw_data!$1:$1,0),FALSE)</f>
        <v>158.01924233313289</v>
      </c>
      <c r="R13" s="2">
        <f t="shared" ref="R13:AU13" si="16">SUMPRODUCT(R37:R40,R25:R28)</f>
        <v>162.33380872410351</v>
      </c>
      <c r="S13" s="2">
        <f t="shared" si="16"/>
        <v>162.33380872410351</v>
      </c>
      <c r="T13" s="2">
        <f t="shared" si="16"/>
        <v>162.33380872410351</v>
      </c>
      <c r="U13" s="2">
        <f t="shared" si="16"/>
        <v>162.33380872410351</v>
      </c>
      <c r="V13" s="2">
        <f t="shared" si="16"/>
        <v>162.33380872410351</v>
      </c>
      <c r="W13" s="2">
        <f t="shared" si="16"/>
        <v>162.33380872410351</v>
      </c>
      <c r="X13" s="2">
        <f t="shared" si="16"/>
        <v>162.33380872410351</v>
      </c>
      <c r="Y13" s="2">
        <f t="shared" si="16"/>
        <v>162.33380872410351</v>
      </c>
      <c r="Z13" s="2">
        <f t="shared" si="16"/>
        <v>162.33380872410351</v>
      </c>
      <c r="AA13" s="2">
        <f t="shared" si="16"/>
        <v>162.33380872410351</v>
      </c>
      <c r="AB13" s="2">
        <f t="shared" si="16"/>
        <v>162.33380872410351</v>
      </c>
      <c r="AC13" s="2">
        <f t="shared" si="16"/>
        <v>162.33380872410351</v>
      </c>
      <c r="AD13" s="2">
        <f t="shared" si="16"/>
        <v>162.33380872410351</v>
      </c>
      <c r="AE13" s="2">
        <f t="shared" si="16"/>
        <v>162.33380872410351</v>
      </c>
      <c r="AF13" s="2">
        <f t="shared" si="16"/>
        <v>162.33380872410351</v>
      </c>
      <c r="AG13" s="2">
        <f t="shared" si="16"/>
        <v>162.33380872410351</v>
      </c>
      <c r="AH13" s="2">
        <f t="shared" si="16"/>
        <v>162.33380872410351</v>
      </c>
      <c r="AI13" s="2">
        <f t="shared" si="16"/>
        <v>162.33380872410351</v>
      </c>
      <c r="AJ13" s="2">
        <f t="shared" si="16"/>
        <v>162.33380872410351</v>
      </c>
      <c r="AK13" s="2">
        <f t="shared" si="16"/>
        <v>162.33380872410351</v>
      </c>
      <c r="AL13" s="2">
        <f t="shared" si="16"/>
        <v>162.33380872410351</v>
      </c>
      <c r="AM13" s="2">
        <f t="shared" si="16"/>
        <v>162.33380872410351</v>
      </c>
      <c r="AN13" s="2">
        <f t="shared" si="16"/>
        <v>162.33380872410351</v>
      </c>
      <c r="AO13" s="2">
        <f t="shared" si="16"/>
        <v>162.33380872410351</v>
      </c>
      <c r="AP13" s="2">
        <f t="shared" si="16"/>
        <v>162.33380872410351</v>
      </c>
      <c r="AQ13" s="2">
        <f t="shared" si="16"/>
        <v>162.33380872410351</v>
      </c>
      <c r="AR13" s="2">
        <f t="shared" si="16"/>
        <v>162.33380872410351</v>
      </c>
      <c r="AS13" s="2">
        <f t="shared" si="16"/>
        <v>162.33380872410351</v>
      </c>
      <c r="AT13" s="2">
        <f t="shared" si="16"/>
        <v>162.33380872410351</v>
      </c>
      <c r="AU13" s="2">
        <f t="shared" si="16"/>
        <v>162.33380872410351</v>
      </c>
    </row>
    <row r="14" spans="1:47" ht="16" customHeight="1">
      <c r="A14" s="119"/>
      <c r="B14" s="119"/>
      <c r="C14" s="7" t="s">
        <v>31</v>
      </c>
      <c r="D14" s="86" t="s">
        <v>25</v>
      </c>
      <c r="E14" s="78" t="s">
        <v>10</v>
      </c>
      <c r="F14" s="83" t="s">
        <v>32</v>
      </c>
      <c r="G14" s="83">
        <f>SUMIF($H$146:$Q$146,"O",H14:Q14)/COUNTIFS($H$146:$Q$146,"O",H14:Q14,"&lt;&gt;0")</f>
        <v>0.78557401057414422</v>
      </c>
      <c r="H14" s="20">
        <f>VLOOKUP($F14,raw_data!$1:$1048576,MATCH(H$1,raw_data!$1:$1,0),FALSE)</f>
        <v>0.85186993483865259</v>
      </c>
      <c r="I14" s="20">
        <f>VLOOKUP($F14,raw_data!$1:$1048576,MATCH(I$1,raw_data!$1:$1,0),FALSE)</f>
        <v>0.81842883533670774</v>
      </c>
      <c r="J14" s="20">
        <f>VLOOKUP($F14,raw_data!$1:$1048576,MATCH(J$1,raw_data!$1:$1,0),FALSE)</f>
        <v>0.796998483064422</v>
      </c>
      <c r="K14" s="20">
        <f>VLOOKUP($F14,raw_data!$1:$1048576,MATCH(K$1,raw_data!$1:$1,0),FALSE)</f>
        <v>0.80004301103876097</v>
      </c>
      <c r="L14" s="20">
        <f>VLOOKUP($F14,raw_data!$1:$1048576,MATCH(L$1,raw_data!$1:$1,0),FALSE)</f>
        <v>0.793662726056104</v>
      </c>
      <c r="M14" s="20">
        <f>VLOOKUP($F14,raw_data!$1:$1048576,MATCH(M$1,raw_data!$1:$1,0),FALSE)</f>
        <v>0.74916937297027231</v>
      </c>
      <c r="N14" s="20">
        <f>VLOOKUP($F14,raw_data!$1:$1048576,MATCH(N$1,raw_data!$1:$1,0),FALSE)</f>
        <v>0.81608576095371932</v>
      </c>
      <c r="O14" s="20">
        <f>VLOOKUP($F14,raw_data!$1:$1048576,MATCH(O$1,raw_data!$1:$1,0),FALSE)</f>
        <v>0.8271461411719051</v>
      </c>
      <c r="P14" s="20">
        <f>VLOOKUP($F14,raw_data!$1:$1048576,MATCH(P$1,raw_data!$1:$1,0),FALSE)</f>
        <v>0.81589331094947437</v>
      </c>
      <c r="Q14" s="20">
        <f>VLOOKUP($F14,raw_data!$1:$1048576,MATCH(Q$1,raw_data!$1:$1,0),FALSE)</f>
        <v>0.7630162946275677</v>
      </c>
      <c r="R14" s="3">
        <f>G14</f>
        <v>0.78557401057414422</v>
      </c>
      <c r="S14" s="3">
        <f t="shared" ref="S14:AU14" si="17">R14</f>
        <v>0.78557401057414422</v>
      </c>
      <c r="T14" s="3">
        <f t="shared" si="17"/>
        <v>0.78557401057414422</v>
      </c>
      <c r="U14" s="3">
        <f t="shared" si="17"/>
        <v>0.78557401057414422</v>
      </c>
      <c r="V14" s="3">
        <f t="shared" si="17"/>
        <v>0.78557401057414422</v>
      </c>
      <c r="W14" s="3">
        <f t="shared" si="17"/>
        <v>0.78557401057414422</v>
      </c>
      <c r="X14" s="3">
        <f t="shared" si="17"/>
        <v>0.78557401057414422</v>
      </c>
      <c r="Y14" s="3">
        <f t="shared" si="17"/>
        <v>0.78557401057414422</v>
      </c>
      <c r="Z14" s="3">
        <f t="shared" si="17"/>
        <v>0.78557401057414422</v>
      </c>
      <c r="AA14" s="3">
        <f t="shared" si="17"/>
        <v>0.78557401057414422</v>
      </c>
      <c r="AB14" s="3">
        <f t="shared" si="17"/>
        <v>0.78557401057414422</v>
      </c>
      <c r="AC14" s="3">
        <f t="shared" si="17"/>
        <v>0.78557401057414422</v>
      </c>
      <c r="AD14" s="3">
        <f t="shared" si="17"/>
        <v>0.78557401057414422</v>
      </c>
      <c r="AE14" s="3">
        <f t="shared" si="17"/>
        <v>0.78557401057414422</v>
      </c>
      <c r="AF14" s="3">
        <f t="shared" si="17"/>
        <v>0.78557401057414422</v>
      </c>
      <c r="AG14" s="3">
        <f t="shared" si="17"/>
        <v>0.78557401057414422</v>
      </c>
      <c r="AH14" s="3">
        <f t="shared" si="17"/>
        <v>0.78557401057414422</v>
      </c>
      <c r="AI14" s="3">
        <f t="shared" si="17"/>
        <v>0.78557401057414422</v>
      </c>
      <c r="AJ14" s="3">
        <f t="shared" si="17"/>
        <v>0.78557401057414422</v>
      </c>
      <c r="AK14" s="3">
        <f t="shared" si="17"/>
        <v>0.78557401057414422</v>
      </c>
      <c r="AL14" s="3">
        <f t="shared" si="17"/>
        <v>0.78557401057414422</v>
      </c>
      <c r="AM14" s="3">
        <f t="shared" si="17"/>
        <v>0.78557401057414422</v>
      </c>
      <c r="AN14" s="3">
        <f t="shared" si="17"/>
        <v>0.78557401057414422</v>
      </c>
      <c r="AO14" s="3">
        <f t="shared" si="17"/>
        <v>0.78557401057414422</v>
      </c>
      <c r="AP14" s="3">
        <f t="shared" si="17"/>
        <v>0.78557401057414422</v>
      </c>
      <c r="AQ14" s="3">
        <f t="shared" si="17"/>
        <v>0.78557401057414422</v>
      </c>
      <c r="AR14" s="3">
        <f t="shared" si="17"/>
        <v>0.78557401057414422</v>
      </c>
      <c r="AS14" s="3">
        <f t="shared" si="17"/>
        <v>0.78557401057414422</v>
      </c>
      <c r="AT14" s="3">
        <f t="shared" si="17"/>
        <v>0.78557401057414422</v>
      </c>
      <c r="AU14" s="3">
        <f t="shared" si="17"/>
        <v>0.78557401057414422</v>
      </c>
    </row>
    <row r="15" spans="1:47">
      <c r="A15" s="119"/>
      <c r="B15" s="119"/>
      <c r="C15" s="36" t="s">
        <v>33</v>
      </c>
      <c r="D15" s="78" t="s">
        <v>9</v>
      </c>
      <c r="E15" s="78"/>
      <c r="F15" s="85" t="s">
        <v>34</v>
      </c>
      <c r="G15" s="85"/>
      <c r="H15" s="2">
        <f>VLOOKUP($F15,raw_data!$1:$1048576,MATCH(H$1,raw_data!$1:$1,0),FALSE)</f>
        <v>112.0102292768959</v>
      </c>
      <c r="I15" s="2">
        <f>VLOOKUP($F15,raw_data!$1:$1048576,MATCH(I$1,raw_data!$1:$1,0),FALSE)</f>
        <v>106.9595813785637</v>
      </c>
      <c r="J15" s="2">
        <f>VLOOKUP($F15,raw_data!$1:$1048576,MATCH(J$1,raw_data!$1:$1,0),FALSE)</f>
        <v>99.315598149372107</v>
      </c>
      <c r="K15" s="2">
        <f>VLOOKUP($F15,raw_data!$1:$1048576,MATCH(K$1,raw_data!$1:$1,0),FALSE)</f>
        <v>129.29308491580079</v>
      </c>
      <c r="L15" s="2">
        <f>VLOOKUP($F15,raw_data!$1:$1048576,MATCH(L$1,raw_data!$1:$1,0),FALSE)</f>
        <v>132.3382853605695</v>
      </c>
      <c r="M15" s="2">
        <f>VLOOKUP($F15,raw_data!$1:$1048576,MATCH(M$1,raw_data!$1:$1,0),FALSE)</f>
        <v>123.28571428571431</v>
      </c>
      <c r="N15" s="2">
        <f>VLOOKUP($F15,raw_data!$1:$1048576,MATCH(N$1,raw_data!$1:$1,0),FALSE)</f>
        <v>135.69451170298629</v>
      </c>
      <c r="O15" s="2">
        <f>VLOOKUP($F15,raw_data!$1:$1048576,MATCH(O$1,raw_data!$1:$1,0),FALSE)</f>
        <v>125.8491368526395</v>
      </c>
      <c r="P15" s="2">
        <f>VLOOKUP($F15,raw_data!$1:$1048576,MATCH(P$1,raw_data!$1:$1,0),FALSE)</f>
        <v>133.02182112068971</v>
      </c>
      <c r="Q15" s="2">
        <f>VLOOKUP($F15,raw_data!$1:$1048576,MATCH(Q$1,raw_data!$1:$1,0),FALSE)</f>
        <v>120.5712567648827</v>
      </c>
      <c r="R15" s="2">
        <f t="shared" ref="R15:AU15" si="18">R13*R14</f>
        <v>127.52522117116999</v>
      </c>
      <c r="S15" s="2">
        <f t="shared" si="18"/>
        <v>127.52522117116999</v>
      </c>
      <c r="T15" s="2">
        <f t="shared" si="18"/>
        <v>127.52522117116999</v>
      </c>
      <c r="U15" s="2">
        <f t="shared" si="18"/>
        <v>127.52522117116999</v>
      </c>
      <c r="V15" s="2">
        <f t="shared" si="18"/>
        <v>127.52522117116999</v>
      </c>
      <c r="W15" s="2">
        <f t="shared" si="18"/>
        <v>127.52522117116999</v>
      </c>
      <c r="X15" s="2">
        <f t="shared" si="18"/>
        <v>127.52522117116999</v>
      </c>
      <c r="Y15" s="2">
        <f t="shared" si="18"/>
        <v>127.52522117116999</v>
      </c>
      <c r="Z15" s="2">
        <f t="shared" si="18"/>
        <v>127.52522117116999</v>
      </c>
      <c r="AA15" s="2">
        <f t="shared" si="18"/>
        <v>127.52522117116999</v>
      </c>
      <c r="AB15" s="2">
        <f t="shared" si="18"/>
        <v>127.52522117116999</v>
      </c>
      <c r="AC15" s="2">
        <f t="shared" si="18"/>
        <v>127.52522117116999</v>
      </c>
      <c r="AD15" s="2">
        <f t="shared" si="18"/>
        <v>127.52522117116999</v>
      </c>
      <c r="AE15" s="2">
        <f t="shared" si="18"/>
        <v>127.52522117116999</v>
      </c>
      <c r="AF15" s="2">
        <f t="shared" si="18"/>
        <v>127.52522117116999</v>
      </c>
      <c r="AG15" s="2">
        <f t="shared" si="18"/>
        <v>127.52522117116999</v>
      </c>
      <c r="AH15" s="2">
        <f t="shared" si="18"/>
        <v>127.52522117116999</v>
      </c>
      <c r="AI15" s="2">
        <f t="shared" si="18"/>
        <v>127.52522117116999</v>
      </c>
      <c r="AJ15" s="2">
        <f t="shared" si="18"/>
        <v>127.52522117116999</v>
      </c>
      <c r="AK15" s="2">
        <f t="shared" si="18"/>
        <v>127.52522117116999</v>
      </c>
      <c r="AL15" s="2">
        <f t="shared" si="18"/>
        <v>127.52522117116999</v>
      </c>
      <c r="AM15" s="2">
        <f t="shared" si="18"/>
        <v>127.52522117116999</v>
      </c>
      <c r="AN15" s="2">
        <f t="shared" si="18"/>
        <v>127.52522117116999</v>
      </c>
      <c r="AO15" s="2">
        <f t="shared" si="18"/>
        <v>127.52522117116999</v>
      </c>
      <c r="AP15" s="2">
        <f t="shared" si="18"/>
        <v>127.52522117116999</v>
      </c>
      <c r="AQ15" s="2">
        <f t="shared" si="18"/>
        <v>127.52522117116999</v>
      </c>
      <c r="AR15" s="2">
        <f t="shared" si="18"/>
        <v>127.52522117116999</v>
      </c>
      <c r="AS15" s="2">
        <f t="shared" si="18"/>
        <v>127.52522117116999</v>
      </c>
      <c r="AT15" s="2">
        <f t="shared" si="18"/>
        <v>127.52522117116999</v>
      </c>
      <c r="AU15" s="2">
        <f t="shared" si="18"/>
        <v>127.52522117116999</v>
      </c>
    </row>
    <row r="16" spans="1:47">
      <c r="A16" s="119"/>
      <c r="B16" s="119"/>
      <c r="C16" s="36" t="s">
        <v>35</v>
      </c>
      <c r="D16" s="78" t="s">
        <v>9</v>
      </c>
      <c r="E16" s="78"/>
      <c r="F16" s="85" t="s">
        <v>36</v>
      </c>
      <c r="G16" s="85"/>
      <c r="H16" s="2">
        <f>VLOOKUP($F16,raw_data!$1:$1048576,MATCH(H$1,raw_data!$1:$1,0),FALSE)</f>
        <v>18596</v>
      </c>
      <c r="I16" s="2">
        <f>VLOOKUP($F16,raw_data!$1:$1048576,MATCH(I$1,raw_data!$1:$1,0),FALSE)</f>
        <v>14375</v>
      </c>
      <c r="J16" s="2">
        <f>VLOOKUP($F16,raw_data!$1:$1048576,MATCH(J$1,raw_data!$1:$1,0),FALSE)</f>
        <v>11324</v>
      </c>
      <c r="K16" s="2">
        <f>VLOOKUP($F16,raw_data!$1:$1048576,MATCH(K$1,raw_data!$1:$1,0),FALSE)</f>
        <v>9561</v>
      </c>
      <c r="L16" s="2">
        <f>VLOOKUP($F16,raw_data!$1:$1048576,MATCH(L$1,raw_data!$1:$1,0),FALSE)</f>
        <v>10501</v>
      </c>
      <c r="M16" s="2">
        <f>VLOOKUP($F16,raw_data!$1:$1048576,MATCH(M$1,raw_data!$1:$1,0),FALSE)</f>
        <v>1959</v>
      </c>
      <c r="N16" s="2">
        <f>VLOOKUP($F16,raw_data!$1:$1048576,MATCH(N$1,raw_data!$1:$1,0),FALSE)</f>
        <v>11275</v>
      </c>
      <c r="O16" s="2">
        <f>VLOOKUP($F16,raw_data!$1:$1048576,MATCH(O$1,raw_data!$1:$1,0),FALSE)</f>
        <v>16586</v>
      </c>
      <c r="P16" s="2">
        <f>VLOOKUP($F16,raw_data!$1:$1048576,MATCH(P$1,raw_data!$1:$1,0),FALSE)</f>
        <v>8726</v>
      </c>
      <c r="Q16" s="2">
        <f>VLOOKUP($F16,raw_data!$1:$1048576,MATCH(Q$1,raw_data!$1:$1,0),FALSE)</f>
        <v>18303</v>
      </c>
      <c r="R16" s="72">
        <f t="shared" ref="R16:AU16" si="19">R2*R17</f>
        <v>18758.722407281111</v>
      </c>
      <c r="S16" s="72">
        <f t="shared" si="19"/>
        <v>20704.912641918905</v>
      </c>
      <c r="T16" s="72">
        <f t="shared" si="19"/>
        <v>22935.032025542347</v>
      </c>
      <c r="U16" s="72">
        <f t="shared" si="19"/>
        <v>25284.443790461552</v>
      </c>
      <c r="V16" s="72">
        <f t="shared" si="19"/>
        <v>27845.669510512264</v>
      </c>
      <c r="W16" s="72">
        <f t="shared" si="19"/>
        <v>30795.234669989291</v>
      </c>
      <c r="X16" s="72">
        <f t="shared" si="19"/>
        <v>33421.288196206755</v>
      </c>
      <c r="Y16" s="72">
        <f t="shared" si="19"/>
        <v>36367.402365988761</v>
      </c>
      <c r="Z16" s="72">
        <f t="shared" si="19"/>
        <v>39797.029391707329</v>
      </c>
      <c r="AA16" s="72">
        <f t="shared" si="19"/>
        <v>43641.906638810025</v>
      </c>
      <c r="AB16" s="72">
        <f t="shared" si="19"/>
        <v>47962.164519663194</v>
      </c>
      <c r="AC16" s="72">
        <f t="shared" si="19"/>
        <v>52020.058388862577</v>
      </c>
      <c r="AD16" s="72">
        <f t="shared" si="19"/>
        <v>56092.332119595761</v>
      </c>
      <c r="AE16" s="72">
        <f t="shared" si="19"/>
        <v>60189.51203788937</v>
      </c>
      <c r="AF16" s="72">
        <f t="shared" si="19"/>
        <v>64300.842581830919</v>
      </c>
      <c r="AG16" s="72">
        <f t="shared" si="19"/>
        <v>68354.918770944205</v>
      </c>
      <c r="AH16" s="72">
        <f t="shared" si="19"/>
        <v>72468.666600264856</v>
      </c>
      <c r="AI16" s="72">
        <f t="shared" si="19"/>
        <v>76578.123069024397</v>
      </c>
      <c r="AJ16" s="72">
        <f t="shared" si="19"/>
        <v>79530.841908305927</v>
      </c>
      <c r="AK16" s="72">
        <f t="shared" si="19"/>
        <v>82676.569743913351</v>
      </c>
      <c r="AL16" s="72">
        <f t="shared" si="19"/>
        <v>85930.948097423228</v>
      </c>
      <c r="AM16" s="72">
        <f t="shared" si="19"/>
        <v>89301.068441475334</v>
      </c>
      <c r="AN16" s="72">
        <f t="shared" si="19"/>
        <v>92779.69004828106</v>
      </c>
      <c r="AO16" s="72">
        <f t="shared" si="19"/>
        <v>96426.541280467907</v>
      </c>
      <c r="AP16" s="72">
        <f t="shared" si="19"/>
        <v>100250.43200064643</v>
      </c>
      <c r="AQ16" s="72">
        <f t="shared" si="19"/>
        <v>104157.84086333157</v>
      </c>
      <c r="AR16" s="72">
        <f t="shared" si="19"/>
        <v>108277.22060797438</v>
      </c>
      <c r="AS16" s="72">
        <f t="shared" si="19"/>
        <v>112565.37459167997</v>
      </c>
      <c r="AT16" s="72">
        <f t="shared" si="19"/>
        <v>116962.62853208306</v>
      </c>
      <c r="AU16" s="72">
        <f t="shared" si="19"/>
        <v>121576.55649524616</v>
      </c>
    </row>
    <row r="17" spans="1:47">
      <c r="A17" s="119"/>
      <c r="B17" s="119"/>
      <c r="C17" s="37" t="s">
        <v>37</v>
      </c>
      <c r="D17" s="87" t="s">
        <v>25</v>
      </c>
      <c r="E17" s="87" t="s">
        <v>10</v>
      </c>
      <c r="F17" s="84" t="s">
        <v>38</v>
      </c>
      <c r="G17" s="84">
        <f>SUMIF($H$147:$Q$147,"O",H17:Q17)/COUNTIFS($H$147:$Q$147,"O",H17:Q17,"&lt;&gt;0")</f>
        <v>2.7160509880456891E-2</v>
      </c>
      <c r="H17" s="21">
        <f>VLOOKUP($F17,raw_data!$1:$1048576,MATCH(H$1,raw_data!$1:$1,0),FALSE)</f>
        <v>5.8561040973204137E-2</v>
      </c>
      <c r="I17" s="21">
        <f>VLOOKUP($F17,raw_data!$1:$1048576,MATCH(I$1,raw_data!$1:$1,0),FALSE)</f>
        <v>4.8501104981696103E-2</v>
      </c>
      <c r="J17" s="21">
        <f>VLOOKUP($F17,raw_data!$1:$1048576,MATCH(J$1,raw_data!$1:$1,0),FALSE)</f>
        <v>3.7680223871905873E-2</v>
      </c>
      <c r="K17" s="21">
        <f>VLOOKUP($F17,raw_data!$1:$1048576,MATCH(K$1,raw_data!$1:$1,0),FALSE)</f>
        <v>2.649525989519394E-2</v>
      </c>
      <c r="L17" s="21">
        <f>VLOOKUP($F17,raw_data!$1:$1048576,MATCH(L$1,raw_data!$1:$1,0),FALSE)</f>
        <v>2.455885964194254E-2</v>
      </c>
      <c r="M17" s="21">
        <f>VLOOKUP($F17,raw_data!$1:$1048576,MATCH(M$1,raw_data!$1:$1,0),FALSE)</f>
        <v>1.6330851888593411E-2</v>
      </c>
      <c r="N17" s="21">
        <f>VLOOKUP($F17,raw_data!$1:$1048576,MATCH(N$1,raw_data!$1:$1,0),FALSE)</f>
        <v>3.3531498791081672E-2</v>
      </c>
      <c r="O17" s="21">
        <f>VLOOKUP($F17,raw_data!$1:$1048576,MATCH(O$1,raw_data!$1:$1,0),FALSE)</f>
        <v>3.2972909572004237E-2</v>
      </c>
      <c r="P17" s="21">
        <f>VLOOKUP($F17,raw_data!$1:$1048576,MATCH(P$1,raw_data!$1:$1,0),FALSE)</f>
        <v>1.7671945027816199E-2</v>
      </c>
      <c r="Q17" s="21">
        <f>VLOOKUP($F17,raw_data!$1:$1048576,MATCH(Q$1,raw_data!$1:$1,0),FALSE)</f>
        <v>3.04274101042342E-2</v>
      </c>
      <c r="R17" s="58">
        <f>G17</f>
        <v>2.7160509880456891E-2</v>
      </c>
      <c r="S17" s="58">
        <f t="shared" ref="S17:AU17" si="20">R17</f>
        <v>2.7160509880456891E-2</v>
      </c>
      <c r="T17" s="58">
        <f t="shared" si="20"/>
        <v>2.7160509880456891E-2</v>
      </c>
      <c r="U17" s="58">
        <f t="shared" si="20"/>
        <v>2.7160509880456891E-2</v>
      </c>
      <c r="V17" s="58">
        <f t="shared" si="20"/>
        <v>2.7160509880456891E-2</v>
      </c>
      <c r="W17" s="58">
        <f t="shared" si="20"/>
        <v>2.7160509880456891E-2</v>
      </c>
      <c r="X17" s="58">
        <f t="shared" si="20"/>
        <v>2.7160509880456891E-2</v>
      </c>
      <c r="Y17" s="58">
        <f t="shared" si="20"/>
        <v>2.7160509880456891E-2</v>
      </c>
      <c r="Z17" s="58">
        <f t="shared" si="20"/>
        <v>2.7160509880456891E-2</v>
      </c>
      <c r="AA17" s="58">
        <f t="shared" si="20"/>
        <v>2.7160509880456891E-2</v>
      </c>
      <c r="AB17" s="58">
        <f t="shared" si="20"/>
        <v>2.7160509880456891E-2</v>
      </c>
      <c r="AC17" s="58">
        <f t="shared" si="20"/>
        <v>2.7160509880456891E-2</v>
      </c>
      <c r="AD17" s="58">
        <f t="shared" si="20"/>
        <v>2.7160509880456891E-2</v>
      </c>
      <c r="AE17" s="58">
        <f t="shared" si="20"/>
        <v>2.7160509880456891E-2</v>
      </c>
      <c r="AF17" s="58">
        <f t="shared" si="20"/>
        <v>2.7160509880456891E-2</v>
      </c>
      <c r="AG17" s="58">
        <f t="shared" si="20"/>
        <v>2.7160509880456891E-2</v>
      </c>
      <c r="AH17" s="58">
        <f t="shared" si="20"/>
        <v>2.7160509880456891E-2</v>
      </c>
      <c r="AI17" s="58">
        <f t="shared" si="20"/>
        <v>2.7160509880456891E-2</v>
      </c>
      <c r="AJ17" s="58">
        <f t="shared" si="20"/>
        <v>2.7160509880456891E-2</v>
      </c>
      <c r="AK17" s="58">
        <f t="shared" si="20"/>
        <v>2.7160509880456891E-2</v>
      </c>
      <c r="AL17" s="58">
        <f t="shared" si="20"/>
        <v>2.7160509880456891E-2</v>
      </c>
      <c r="AM17" s="58">
        <f t="shared" si="20"/>
        <v>2.7160509880456891E-2</v>
      </c>
      <c r="AN17" s="58">
        <f t="shared" si="20"/>
        <v>2.7160509880456891E-2</v>
      </c>
      <c r="AO17" s="58">
        <f t="shared" si="20"/>
        <v>2.7160509880456891E-2</v>
      </c>
      <c r="AP17" s="58">
        <f t="shared" si="20"/>
        <v>2.7160509880456891E-2</v>
      </c>
      <c r="AQ17" s="58">
        <f t="shared" si="20"/>
        <v>2.7160509880456891E-2</v>
      </c>
      <c r="AR17" s="58">
        <f t="shared" si="20"/>
        <v>2.7160509880456891E-2</v>
      </c>
      <c r="AS17" s="58">
        <f t="shared" si="20"/>
        <v>2.7160509880456891E-2</v>
      </c>
      <c r="AT17" s="58">
        <f t="shared" si="20"/>
        <v>2.7160509880456891E-2</v>
      </c>
      <c r="AU17" s="58">
        <f t="shared" si="20"/>
        <v>2.7160509880456891E-2</v>
      </c>
    </row>
    <row r="18" spans="1:47">
      <c r="A18" s="119"/>
      <c r="B18" s="119"/>
      <c r="C18" s="36" t="s">
        <v>39</v>
      </c>
      <c r="D18" s="78" t="s">
        <v>9</v>
      </c>
      <c r="E18" s="78"/>
      <c r="F18" s="85" t="s">
        <v>40</v>
      </c>
      <c r="G18" s="85"/>
      <c r="H18" s="2">
        <f>VLOOKUP($F18,raw_data!$1:$1048576,MATCH(H$1,raw_data!$1:$1,0),FALSE)</f>
        <v>7.1513227513227511</v>
      </c>
      <c r="I18" s="2">
        <f>VLOOKUP($F18,raw_data!$1:$1048576,MATCH(I$1,raw_data!$1:$1,0),FALSE)</f>
        <v>6.7513533020570193</v>
      </c>
      <c r="J18" s="2">
        <f>VLOOKUP($F18,raw_data!$1:$1048576,MATCH(J$1,raw_data!$1:$1,0),FALSE)</f>
        <v>6.1996034368803699</v>
      </c>
      <c r="K18" s="2">
        <f>VLOOKUP($F18,raw_data!$1:$1048576,MATCH(K$1,raw_data!$1:$1,0),FALSE)</f>
        <v>8.4632748118953778</v>
      </c>
      <c r="L18" s="2">
        <f>VLOOKUP($F18,raw_data!$1:$1048576,MATCH(L$1,raw_data!$1:$1,0),FALSE)</f>
        <v>8.4020427112349125</v>
      </c>
      <c r="M18" s="2">
        <f>VLOOKUP($F18,raw_data!$1:$1048576,MATCH(M$1,raw_data!$1:$1,0),FALSE)</f>
        <v>7.9958890030832466</v>
      </c>
      <c r="N18" s="2">
        <f>VLOOKUP($F18,raw_data!$1:$1048576,MATCH(N$1,raw_data!$1:$1,0),FALSE)</f>
        <v>8.6537530266343818</v>
      </c>
      <c r="O18" s="2">
        <f>VLOOKUP($F18,raw_data!$1:$1048576,MATCH(O$1,raw_data!$1:$1,0),FALSE)</f>
        <v>8.1341005754315745</v>
      </c>
      <c r="P18" s="2">
        <f>VLOOKUP($F18,raw_data!$1:$1048576,MATCH(P$1,raw_data!$1:$1,0),FALSE)</f>
        <v>8.5853987068965516</v>
      </c>
      <c r="Q18" s="2">
        <f>VLOOKUP($F18,raw_data!$1:$1048576,MATCH(Q$1,raw_data!$1:$1,0),FALSE)</f>
        <v>7.7027460412908404</v>
      </c>
      <c r="R18" s="2">
        <f t="shared" ref="R18:AU18" si="21">IFERROR(SUMPRODUCT(R29:R32,R51:R54)/SUM(R29:R32),0)</f>
        <v>8.1967822511170301</v>
      </c>
      <c r="S18" s="2">
        <f t="shared" si="21"/>
        <v>8.1967822511170301</v>
      </c>
      <c r="T18" s="2">
        <f t="shared" si="21"/>
        <v>8.1967822511170301</v>
      </c>
      <c r="U18" s="2">
        <f t="shared" si="21"/>
        <v>8.1967822511170301</v>
      </c>
      <c r="V18" s="2">
        <f t="shared" si="21"/>
        <v>8.1967822511170301</v>
      </c>
      <c r="W18" s="2">
        <f t="shared" si="21"/>
        <v>8.1967822511170301</v>
      </c>
      <c r="X18" s="2">
        <f t="shared" si="21"/>
        <v>8.1967822511170301</v>
      </c>
      <c r="Y18" s="2">
        <f t="shared" si="21"/>
        <v>8.1967822511170318</v>
      </c>
      <c r="Z18" s="2">
        <f t="shared" si="21"/>
        <v>8.1967822511170318</v>
      </c>
      <c r="AA18" s="2">
        <f t="shared" si="21"/>
        <v>8.1967822511170301</v>
      </c>
      <c r="AB18" s="2">
        <f t="shared" si="21"/>
        <v>8.1967822511170318</v>
      </c>
      <c r="AC18" s="2">
        <f t="shared" si="21"/>
        <v>8.1967822511170318</v>
      </c>
      <c r="AD18" s="2">
        <f t="shared" si="21"/>
        <v>8.1967822511170318</v>
      </c>
      <c r="AE18" s="2">
        <f t="shared" si="21"/>
        <v>8.1967822511170318</v>
      </c>
      <c r="AF18" s="2">
        <f t="shared" si="21"/>
        <v>8.1967822511170318</v>
      </c>
      <c r="AG18" s="2">
        <f t="shared" si="21"/>
        <v>8.1967822511170301</v>
      </c>
      <c r="AH18" s="2">
        <f t="shared" si="21"/>
        <v>8.1967822511170301</v>
      </c>
      <c r="AI18" s="2">
        <f t="shared" si="21"/>
        <v>8.1967822511170336</v>
      </c>
      <c r="AJ18" s="2">
        <f t="shared" si="21"/>
        <v>8.1967822511170318</v>
      </c>
      <c r="AK18" s="2">
        <f t="shared" si="21"/>
        <v>8.1967822511170318</v>
      </c>
      <c r="AL18" s="2">
        <f t="shared" si="21"/>
        <v>8.1967822511170318</v>
      </c>
      <c r="AM18" s="2">
        <f t="shared" si="21"/>
        <v>8.1967822511170301</v>
      </c>
      <c r="AN18" s="2">
        <f t="shared" si="21"/>
        <v>8.1967822511170301</v>
      </c>
      <c r="AO18" s="2">
        <f t="shared" si="21"/>
        <v>8.1967822511170318</v>
      </c>
      <c r="AP18" s="2">
        <f t="shared" si="21"/>
        <v>8.1967822511170301</v>
      </c>
      <c r="AQ18" s="2">
        <f t="shared" si="21"/>
        <v>8.1967822511170318</v>
      </c>
      <c r="AR18" s="2">
        <f t="shared" si="21"/>
        <v>8.1967822511170301</v>
      </c>
      <c r="AS18" s="2">
        <f t="shared" si="21"/>
        <v>8.1967822511170318</v>
      </c>
      <c r="AT18" s="2">
        <f t="shared" si="21"/>
        <v>8.1967822511170301</v>
      </c>
      <c r="AU18" s="2">
        <f t="shared" si="21"/>
        <v>8.1967822511170318</v>
      </c>
    </row>
    <row r="19" spans="1:47">
      <c r="A19" s="119"/>
      <c r="B19" s="120"/>
      <c r="C19" s="37" t="s">
        <v>41</v>
      </c>
      <c r="D19" s="87" t="s">
        <v>25</v>
      </c>
      <c r="E19" s="87"/>
      <c r="F19" s="88" t="s">
        <v>42</v>
      </c>
      <c r="G19" s="88"/>
      <c r="H19" s="21">
        <f>VLOOKUP($F19,raw_data!$1:$1048576,MATCH(H$1,raw_data!$1:$1,0),FALSE)</f>
        <v>6.3845264825271059E-2</v>
      </c>
      <c r="I19" s="21">
        <f>VLOOKUP($F19,raw_data!$1:$1048576,MATCH(I$1,raw_data!$1:$1,0),FALSE)</f>
        <v>6.3120603269396225E-2</v>
      </c>
      <c r="J19" s="21">
        <f>VLOOKUP($F19,raw_data!$1:$1048576,MATCH(J$1,raw_data!$1:$1,0),FALSE)</f>
        <v>6.2423260317639888E-2</v>
      </c>
      <c r="K19" s="21">
        <f>VLOOKUP($F19,raw_data!$1:$1048576,MATCH(K$1,raw_data!$1:$1,0),FALSE)</f>
        <v>6.5458062334941544E-2</v>
      </c>
      <c r="L19" s="21">
        <f>VLOOKUP($F19,raw_data!$1:$1048576,MATCH(L$1,raw_data!$1:$1,0),FALSE)</f>
        <v>6.3489130816095043E-2</v>
      </c>
      <c r="M19" s="21">
        <f>VLOOKUP($F19,raw_data!$1:$1048576,MATCH(M$1,raw_data!$1:$1,0),FALSE)</f>
        <v>6.4856573605541992E-2</v>
      </c>
      <c r="N19" s="21">
        <f>VLOOKUP($F19,raw_data!$1:$1048576,MATCH(N$1,raw_data!$1:$1,0),FALSE)</f>
        <v>6.3773788033344145E-2</v>
      </c>
      <c r="O19" s="21">
        <f>VLOOKUP($F19,raw_data!$1:$1048576,MATCH(O$1,raw_data!$1:$1,0),FALSE)</f>
        <v>6.4633741469010117E-2</v>
      </c>
      <c r="P19" s="21">
        <f>VLOOKUP($F19,raw_data!$1:$1048576,MATCH(P$1,raw_data!$1:$1,0),FALSE)</f>
        <v>6.4541280780595289E-2</v>
      </c>
      <c r="Q19" s="21">
        <f>VLOOKUP($F19,raw_data!$1:$1048576,MATCH(Q$1,raw_data!$1:$1,0),FALSE)</f>
        <v>6.3885425498312637E-2</v>
      </c>
      <c r="R19" s="21">
        <f t="shared" ref="R19:AU19" si="22">IFERROR(R18/R15,0)</f>
        <v>6.4275773653550042E-2</v>
      </c>
      <c r="S19" s="21">
        <f t="shared" si="22"/>
        <v>6.4275773653550042E-2</v>
      </c>
      <c r="T19" s="21">
        <f t="shared" si="22"/>
        <v>6.4275773653550042E-2</v>
      </c>
      <c r="U19" s="21">
        <f t="shared" si="22"/>
        <v>6.4275773653550042E-2</v>
      </c>
      <c r="V19" s="21">
        <f t="shared" si="22"/>
        <v>6.4275773653550042E-2</v>
      </c>
      <c r="W19" s="21">
        <f t="shared" si="22"/>
        <v>6.4275773653550042E-2</v>
      </c>
      <c r="X19" s="21">
        <f t="shared" si="22"/>
        <v>6.4275773653550042E-2</v>
      </c>
      <c r="Y19" s="21">
        <f t="shared" si="22"/>
        <v>6.4275773653550056E-2</v>
      </c>
      <c r="Z19" s="21">
        <f t="shared" si="22"/>
        <v>6.4275773653550056E-2</v>
      </c>
      <c r="AA19" s="21">
        <f t="shared" si="22"/>
        <v>6.4275773653550042E-2</v>
      </c>
      <c r="AB19" s="21">
        <f t="shared" si="22"/>
        <v>6.4275773653550056E-2</v>
      </c>
      <c r="AC19" s="21">
        <f t="shared" si="22"/>
        <v>6.4275773653550056E-2</v>
      </c>
      <c r="AD19" s="21">
        <f t="shared" si="22"/>
        <v>6.4275773653550056E-2</v>
      </c>
      <c r="AE19" s="21">
        <f t="shared" si="22"/>
        <v>6.4275773653550056E-2</v>
      </c>
      <c r="AF19" s="21">
        <f t="shared" si="22"/>
        <v>6.4275773653550056E-2</v>
      </c>
      <c r="AG19" s="21">
        <f t="shared" si="22"/>
        <v>6.4275773653550042E-2</v>
      </c>
      <c r="AH19" s="21">
        <f t="shared" si="22"/>
        <v>6.4275773653550042E-2</v>
      </c>
      <c r="AI19" s="21">
        <f t="shared" si="22"/>
        <v>6.427577365355007E-2</v>
      </c>
      <c r="AJ19" s="21">
        <f t="shared" si="22"/>
        <v>6.4275773653550056E-2</v>
      </c>
      <c r="AK19" s="21">
        <f t="shared" si="22"/>
        <v>6.4275773653550056E-2</v>
      </c>
      <c r="AL19" s="21">
        <f t="shared" si="22"/>
        <v>6.4275773653550056E-2</v>
      </c>
      <c r="AM19" s="21">
        <f t="shared" si="22"/>
        <v>6.4275773653550042E-2</v>
      </c>
      <c r="AN19" s="21">
        <f t="shared" si="22"/>
        <v>6.4275773653550042E-2</v>
      </c>
      <c r="AO19" s="21">
        <f t="shared" si="22"/>
        <v>6.4275773653550056E-2</v>
      </c>
      <c r="AP19" s="21">
        <f t="shared" si="22"/>
        <v>6.4275773653550042E-2</v>
      </c>
      <c r="AQ19" s="21">
        <f t="shared" si="22"/>
        <v>6.4275773653550056E-2</v>
      </c>
      <c r="AR19" s="21">
        <f t="shared" si="22"/>
        <v>6.4275773653550042E-2</v>
      </c>
      <c r="AS19" s="21">
        <f t="shared" si="22"/>
        <v>6.4275773653550056E-2</v>
      </c>
      <c r="AT19" s="21">
        <f t="shared" si="22"/>
        <v>6.4275773653550042E-2</v>
      </c>
      <c r="AU19" s="21">
        <f t="shared" si="22"/>
        <v>6.4275773653550056E-2</v>
      </c>
    </row>
    <row r="20" spans="1:47">
      <c r="A20" s="119"/>
      <c r="B20" s="128" t="s">
        <v>43</v>
      </c>
      <c r="C20" s="40" t="s">
        <v>44</v>
      </c>
      <c r="D20" s="76" t="s">
        <v>9</v>
      </c>
      <c r="E20" s="76"/>
      <c r="F20" s="89" t="s">
        <v>45</v>
      </c>
      <c r="G20" s="89"/>
      <c r="H20" s="16">
        <f>VLOOKUP($F20,raw_data!$1:$1048576,MATCH(H$1,raw_data!$1:$1,0),FALSE)</f>
        <v>2835</v>
      </c>
      <c r="I20" s="16">
        <f>VLOOKUP($F20,raw_data!$1:$1048576,MATCH(I$1,raw_data!$1:$1,0),FALSE)</f>
        <v>2771</v>
      </c>
      <c r="J20" s="16">
        <f>VLOOKUP($F20,raw_data!$1:$1048576,MATCH(J$1,raw_data!$1:$1,0),FALSE)</f>
        <v>3026</v>
      </c>
      <c r="K20" s="16">
        <f>VLOOKUP($F20,raw_data!$1:$1048576,MATCH(K$1,raw_data!$1:$1,0),FALSE)</f>
        <v>2791</v>
      </c>
      <c r="L20" s="16">
        <f>VLOOKUP($F20,raw_data!$1:$1048576,MATCH(L$1,raw_data!$1:$1,0),FALSE)</f>
        <v>3231</v>
      </c>
      <c r="M20" s="16">
        <f>VLOOKUP($F20,raw_data!$1:$1048576,MATCH(M$1,raw_data!$1:$1,0),FALSE)</f>
        <v>973</v>
      </c>
      <c r="N20" s="16">
        <f>VLOOKUP($F20,raw_data!$1:$1048576,MATCH(N$1,raw_data!$1:$1,0),FALSE)</f>
        <v>2478</v>
      </c>
      <c r="O20" s="16">
        <f>VLOOKUP($F20,raw_data!$1:$1048576,MATCH(O$1,raw_data!$1:$1,0),FALSE)</f>
        <v>3997</v>
      </c>
      <c r="P20" s="16">
        <f>VLOOKUP($F20,raw_data!$1:$1048576,MATCH(P$1,raw_data!$1:$1,0),FALSE)</f>
        <v>3712</v>
      </c>
      <c r="Q20" s="16">
        <f>VLOOKUP($F20,raw_data!$1:$1048576,MATCH(Q$1,raw_data!$1:$1,0),FALSE)</f>
        <v>4989</v>
      </c>
      <c r="R20" s="75">
        <f t="shared" ref="R20:AU20" si="23">IFERROR(R2/R15,0)</f>
        <v>5415.8827383900461</v>
      </c>
      <c r="S20" s="75">
        <f t="shared" si="23"/>
        <v>5977.7727151459749</v>
      </c>
      <c r="T20" s="75">
        <f t="shared" si="23"/>
        <v>6621.6366634512824</v>
      </c>
      <c r="U20" s="75">
        <f t="shared" si="23"/>
        <v>7299.9418457944894</v>
      </c>
      <c r="V20" s="75">
        <f t="shared" si="23"/>
        <v>8039.4004221930181</v>
      </c>
      <c r="W20" s="75">
        <f t="shared" si="23"/>
        <v>8890.9775544804434</v>
      </c>
      <c r="X20" s="75">
        <f t="shared" si="23"/>
        <v>9649.1527464758819</v>
      </c>
      <c r="Y20" s="75">
        <f t="shared" si="23"/>
        <v>10499.733533963599</v>
      </c>
      <c r="Z20" s="75">
        <f t="shared" si="23"/>
        <v>11489.910658206112</v>
      </c>
      <c r="AA20" s="75">
        <f t="shared" si="23"/>
        <v>12599.975824783214</v>
      </c>
      <c r="AB20" s="75">
        <f t="shared" si="23"/>
        <v>13847.289451708279</v>
      </c>
      <c r="AC20" s="75">
        <f t="shared" si="23"/>
        <v>15018.855237653563</v>
      </c>
      <c r="AD20" s="75">
        <f t="shared" si="23"/>
        <v>16194.572673277886</v>
      </c>
      <c r="AE20" s="75">
        <f t="shared" si="23"/>
        <v>17377.480843343445</v>
      </c>
      <c r="AF20" s="75">
        <f t="shared" si="23"/>
        <v>18564.47447976008</v>
      </c>
      <c r="AG20" s="75">
        <f t="shared" si="23"/>
        <v>19734.938052706522</v>
      </c>
      <c r="AH20" s="75">
        <f t="shared" si="23"/>
        <v>20922.629590284771</v>
      </c>
      <c r="AI20" s="75">
        <f t="shared" si="23"/>
        <v>22109.082157261371</v>
      </c>
      <c r="AJ20" s="75">
        <f t="shared" si="23"/>
        <v>22961.569797185977</v>
      </c>
      <c r="AK20" s="75">
        <f t="shared" si="23"/>
        <v>23869.781599388803</v>
      </c>
      <c r="AL20" s="75">
        <f t="shared" si="23"/>
        <v>24809.362193753972</v>
      </c>
      <c r="AM20" s="75">
        <f t="shared" si="23"/>
        <v>25782.358979002223</v>
      </c>
      <c r="AN20" s="75">
        <f t="shared" si="23"/>
        <v>26786.68146454512</v>
      </c>
      <c r="AO20" s="75">
        <f t="shared" si="23"/>
        <v>27839.573991501595</v>
      </c>
      <c r="AP20" s="75">
        <f t="shared" si="23"/>
        <v>28943.58007972359</v>
      </c>
      <c r="AQ20" s="75">
        <f t="shared" si="23"/>
        <v>30071.698922349824</v>
      </c>
      <c r="AR20" s="75">
        <f t="shared" si="23"/>
        <v>31261.016465810299</v>
      </c>
      <c r="AS20" s="75">
        <f t="shared" si="23"/>
        <v>32499.061287609853</v>
      </c>
      <c r="AT20" s="75">
        <f t="shared" si="23"/>
        <v>33768.604660291945</v>
      </c>
      <c r="AU20" s="75">
        <f t="shared" si="23"/>
        <v>35100.704590624671</v>
      </c>
    </row>
    <row r="21" spans="1:47">
      <c r="A21" s="119"/>
      <c r="B21" s="119"/>
      <c r="C21" s="36" t="s">
        <v>53</v>
      </c>
      <c r="D21" s="78" t="s">
        <v>9</v>
      </c>
      <c r="E21" s="78"/>
      <c r="F21" s="78" t="s">
        <v>54</v>
      </c>
      <c r="G21" s="78"/>
      <c r="H21" s="2">
        <f>VLOOKUP($F21,raw_data!$1:$1048576,MATCH(H$1,raw_data!$1:$1,0),FALSE)</f>
        <v>142380.24691358031</v>
      </c>
      <c r="I21" s="2">
        <f>VLOOKUP($F21,raw_data!$1:$1048576,MATCH(I$1,raw_data!$1:$1,0),FALSE)</f>
        <v>145631.90184049081</v>
      </c>
      <c r="J21" s="2">
        <f>VLOOKUP($F21,raw_data!$1:$1048576,MATCH(J$1,raw_data!$1:$1,0),FALSE)</f>
        <v>135888.96232650359</v>
      </c>
      <c r="K21" s="2">
        <f>VLOOKUP($F21,raw_data!$1:$1048576,MATCH(K$1,raw_data!$1:$1,0),FALSE)</f>
        <v>173211.75206019351</v>
      </c>
      <c r="L21" s="2">
        <f>VLOOKUP($F21,raw_data!$1:$1048576,MATCH(L$1,raw_data!$1:$1,0),FALSE)</f>
        <v>185967.1928195605</v>
      </c>
      <c r="M21" s="2">
        <f>VLOOKUP($F21,raw_data!$1:$1048576,MATCH(M$1,raw_data!$1:$1,0),FALSE)</f>
        <v>173379.2394655704</v>
      </c>
      <c r="N21" s="2">
        <f>VLOOKUP($F21,raw_data!$1:$1048576,MATCH(N$1,raw_data!$1:$1,0),FALSE)</f>
        <v>168314.76997578691</v>
      </c>
      <c r="O21" s="2">
        <f>VLOOKUP($F21,raw_data!$1:$1048576,MATCH(O$1,raw_data!$1:$1,0),FALSE)</f>
        <v>154574.43082311729</v>
      </c>
      <c r="P21" s="2">
        <f>VLOOKUP($F21,raw_data!$1:$1048576,MATCH(P$1,raw_data!$1:$1,0),FALSE)</f>
        <v>168681.03448275861</v>
      </c>
      <c r="Q21" s="2">
        <f>VLOOKUP($F21,raw_data!$1:$1048576,MATCH(Q$1,raw_data!$1:$1,0),FALSE)</f>
        <v>152140.30867909401</v>
      </c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  <c r="AO21" s="26"/>
      <c r="AP21" s="26"/>
      <c r="AQ21" s="26"/>
      <c r="AR21" s="26"/>
      <c r="AS21" s="26"/>
      <c r="AT21" s="26"/>
      <c r="AU21" s="26"/>
    </row>
    <row r="22" spans="1:47">
      <c r="A22" s="119"/>
      <c r="B22" s="119"/>
      <c r="C22" s="36" t="s">
        <v>55</v>
      </c>
      <c r="D22" s="78" t="s">
        <v>9</v>
      </c>
      <c r="E22" s="78"/>
      <c r="F22" s="78" t="s">
        <v>56</v>
      </c>
      <c r="G22" s="78"/>
      <c r="H22" s="2"/>
      <c r="I22" s="2"/>
      <c r="J22" s="2"/>
      <c r="K22" s="2"/>
      <c r="L22" s="2"/>
      <c r="M22" s="2"/>
      <c r="N22" s="2"/>
      <c r="O22" s="2"/>
      <c r="P22" s="2"/>
      <c r="Q22" s="2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  <c r="AO22" s="26"/>
      <c r="AP22" s="26"/>
      <c r="AQ22" s="26"/>
      <c r="AR22" s="26"/>
      <c r="AS22" s="26"/>
      <c r="AT22" s="26"/>
      <c r="AU22" s="26"/>
    </row>
    <row r="23" spans="1:47">
      <c r="A23" s="119"/>
      <c r="B23" s="119"/>
      <c r="C23" s="36" t="s">
        <v>57</v>
      </c>
      <c r="D23" s="78" t="s">
        <v>9</v>
      </c>
      <c r="E23" s="78"/>
      <c r="F23" s="78" t="s">
        <v>58</v>
      </c>
      <c r="G23" s="78"/>
      <c r="H23" s="2">
        <f>VLOOKUP($F23,raw_data!$1:$1048576,MATCH(H$1,raw_data!$1:$1,0),FALSE)</f>
        <v>1272.197530864197</v>
      </c>
      <c r="I23" s="2">
        <f>VLOOKUP($F23,raw_data!$1:$1048576,MATCH(I$1,raw_data!$1:$1,0),FALSE)</f>
        <v>1167.9195236376761</v>
      </c>
      <c r="J23" s="2">
        <f>VLOOKUP($F23,raw_data!$1:$1048576,MATCH(J$1,raw_data!$1:$1,0),FALSE)</f>
        <v>1170.300066093853</v>
      </c>
      <c r="K23" s="2">
        <f>VLOOKUP($F23,raw_data!$1:$1048576,MATCH(K$1,raw_data!$1:$1,0),FALSE)</f>
        <v>1385.0777499104261</v>
      </c>
      <c r="L23" s="2">
        <f>VLOOKUP($F23,raw_data!$1:$1048576,MATCH(L$1,raw_data!$1:$1,0),FALSE)</f>
        <v>1459.570411637264</v>
      </c>
      <c r="M23" s="2">
        <f>VLOOKUP($F23,raw_data!$1:$1048576,MATCH(M$1,raw_data!$1:$1,0),FALSE)</f>
        <v>1392.8180883864341</v>
      </c>
      <c r="N23" s="2">
        <f>VLOOKUP($F23,raw_data!$1:$1048576,MATCH(N$1,raw_data!$1:$1,0),FALSE)</f>
        <v>1349.269975786925</v>
      </c>
      <c r="O23" s="2">
        <f>VLOOKUP($F23,raw_data!$1:$1048576,MATCH(O$1,raw_data!$1:$1,0),FALSE)</f>
        <v>1572.201401050788</v>
      </c>
      <c r="P23" s="2">
        <f>VLOOKUP($F23,raw_data!$1:$1048576,MATCH(P$1,raw_data!$1:$1,0),FALSE)</f>
        <v>1597.1330818965521</v>
      </c>
      <c r="Q23" s="2">
        <f>VLOOKUP($F23,raw_data!$1:$1048576,MATCH(Q$1,raw_data!$1:$1,0),FALSE)</f>
        <v>1549.984365604329</v>
      </c>
    </row>
    <row r="24" spans="1:47">
      <c r="A24" s="120"/>
      <c r="B24" s="120"/>
      <c r="C24" s="39" t="s">
        <v>59</v>
      </c>
      <c r="D24" s="80" t="s">
        <v>9</v>
      </c>
      <c r="E24" s="80"/>
      <c r="F24" s="80" t="s">
        <v>60</v>
      </c>
      <c r="G24" s="80"/>
      <c r="H24" s="14">
        <f>VLOOKUP($F24,raw_data!$1:$1048576,MATCH(H$1,raw_data!$1:$1,0),FALSE)</f>
        <v>8748.6419753086411</v>
      </c>
      <c r="I24" s="14">
        <f>VLOOKUP($F24,raw_data!$1:$1048576,MATCH(I$1,raw_data!$1:$1,0),FALSE)</f>
        <v>15402.52616383977</v>
      </c>
      <c r="J24" s="14">
        <f>VLOOKUP($F24,raw_data!$1:$1048576,MATCH(J$1,raw_data!$1:$1,0),FALSE)</f>
        <v>13794.44811632518</v>
      </c>
      <c r="K24" s="14">
        <f>VLOOKUP($F24,raw_data!$1:$1048576,MATCH(K$1,raw_data!$1:$1,0),FALSE)</f>
        <v>21093.084915800791</v>
      </c>
      <c r="L24" s="14">
        <f>VLOOKUP($F24,raw_data!$1:$1048576,MATCH(L$1,raw_data!$1:$1,0),FALSE)</f>
        <v>18936.614051377281</v>
      </c>
      <c r="M24" s="14">
        <f>VLOOKUP($F24,raw_data!$1:$1048576,MATCH(M$1,raw_data!$1:$1,0),FALSE)</f>
        <v>18987.87255909558</v>
      </c>
      <c r="N24" s="14">
        <f>VLOOKUP($F24,raw_data!$1:$1048576,MATCH(N$1,raw_data!$1:$1,0),FALSE)</f>
        <v>16013.478611783699</v>
      </c>
      <c r="O24" s="14">
        <f>VLOOKUP($F24,raw_data!$1:$1048576,MATCH(O$1,raw_data!$1:$1,0),FALSE)</f>
        <v>18391.093319989988</v>
      </c>
      <c r="P24" s="14">
        <f>VLOOKUP($F24,raw_data!$1:$1048576,MATCH(P$1,raw_data!$1:$1,0),FALSE)</f>
        <v>24565.247844827591</v>
      </c>
      <c r="Q24" s="14">
        <f>VLOOKUP($F24,raw_data!$1:$1048576,MATCH(Q$1,raw_data!$1:$1,0),FALSE)</f>
        <v>23106.835037081579</v>
      </c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</row>
    <row r="25" spans="1:47">
      <c r="A25" s="130" t="s">
        <v>61</v>
      </c>
      <c r="B25" s="123" t="s">
        <v>62</v>
      </c>
      <c r="C25" s="7" t="str">
        <f>C137&amp;"FleetMix📝"</f>
        <v>(Widebody Jets급)FleetMix📝</v>
      </c>
      <c r="D25" s="86" t="s">
        <v>63</v>
      </c>
      <c r="E25" s="86" t="s">
        <v>10</v>
      </c>
      <c r="F25" s="83" t="str">
        <f>C137&amp;"혼합율"</f>
        <v>(Widebody Jets급)혼합율</v>
      </c>
      <c r="G25" s="83">
        <f>IFERROR(SUMIF($H$148:$Q$148,"O",H25:Q25)/COUNTIFS($H$148:$Q$148,"O",H25:Q25,"&lt;&gt;0"),0)</f>
        <v>3.7309912986758793E-2</v>
      </c>
      <c r="H25" s="17">
        <f>VLOOKUP($F25,raw_data!$1:$1048576,MATCH(H$1,raw_data!$1:$1,0),FALSE)</f>
        <v>1.552028218694885E-2</v>
      </c>
      <c r="I25" s="17">
        <f>VLOOKUP($F25,raw_data!$1:$1048576,MATCH(I$1,raw_data!$1:$1,0),FALSE)</f>
        <v>3.9335979790689278E-2</v>
      </c>
      <c r="J25" s="68">
        <f>VLOOKUP($F25,raw_data!$1:$1048576,MATCH(J$1,raw_data!$1:$1,0),FALSE)</f>
        <v>2.7098479841374749E-2</v>
      </c>
      <c r="K25" s="68">
        <f>VLOOKUP($F25,raw_data!$1:$1048576,MATCH(K$1,raw_data!$1:$1,0),FALSE)</f>
        <v>3.47545682551057E-2</v>
      </c>
      <c r="L25" s="68">
        <f>IFERROR(VLOOKUP($F25,raw_data!$1:$1048576,MATCH(L$1,raw_data!$1:$1,0),FALSE),0)</f>
        <v>5.6329309811203959E-2</v>
      </c>
      <c r="M25" s="68">
        <f>IFERROR(VLOOKUP($F25,raw_data!$1:$1048576,MATCH(M$1,raw_data!$1:$1,0),FALSE),0)</f>
        <v>1.3360739979445009E-2</v>
      </c>
      <c r="N25" s="68">
        <f>IFERROR(VLOOKUP($F25,raw_data!$1:$1048576,MATCH(N$1,raw_data!$1:$1,0),FALSE),0)</f>
        <v>2.300242130750605E-2</v>
      </c>
      <c r="O25" s="68">
        <f>IFERROR(VLOOKUP($F25,raw_data!$1:$1048576,MATCH(O$1,raw_data!$1:$1,0),FALSE),0)</f>
        <v>1.751313485113835E-2</v>
      </c>
      <c r="P25" s="68">
        <f>IFERROR(VLOOKUP($F25,raw_data!$1:$1048576,MATCH(P$1,raw_data!$1:$1,0),FALSE),0)</f>
        <v>3.125E-2</v>
      </c>
      <c r="Q25" s="68">
        <f>IFERROR(VLOOKUP($F25,raw_data!$1:$1048576,MATCH(Q$1,raw_data!$1:$1,0),FALSE),0)</f>
        <v>2.0845860893966731E-2</v>
      </c>
      <c r="R25" s="108">
        <f>G25</f>
        <v>3.7309912986758793E-2</v>
      </c>
      <c r="S25" s="3">
        <f t="shared" ref="S25:AU25" si="24">R25</f>
        <v>3.7309912986758793E-2</v>
      </c>
      <c r="T25" s="3">
        <f t="shared" si="24"/>
        <v>3.7309912986758793E-2</v>
      </c>
      <c r="U25" s="3">
        <f t="shared" si="24"/>
        <v>3.7309912986758793E-2</v>
      </c>
      <c r="V25" s="3">
        <f t="shared" si="24"/>
        <v>3.7309912986758793E-2</v>
      </c>
      <c r="W25" s="3">
        <f t="shared" si="24"/>
        <v>3.7309912986758793E-2</v>
      </c>
      <c r="X25" s="3">
        <f t="shared" si="24"/>
        <v>3.7309912986758793E-2</v>
      </c>
      <c r="Y25" s="3">
        <f t="shared" si="24"/>
        <v>3.7309912986758793E-2</v>
      </c>
      <c r="Z25" s="3">
        <f t="shared" si="24"/>
        <v>3.7309912986758793E-2</v>
      </c>
      <c r="AA25" s="3">
        <f t="shared" si="24"/>
        <v>3.7309912986758793E-2</v>
      </c>
      <c r="AB25" s="3">
        <f t="shared" si="24"/>
        <v>3.7309912986758793E-2</v>
      </c>
      <c r="AC25" s="3">
        <f t="shared" si="24"/>
        <v>3.7309912986758793E-2</v>
      </c>
      <c r="AD25" s="3">
        <f t="shared" si="24"/>
        <v>3.7309912986758793E-2</v>
      </c>
      <c r="AE25" s="3">
        <f t="shared" si="24"/>
        <v>3.7309912986758793E-2</v>
      </c>
      <c r="AF25" s="3">
        <f t="shared" si="24"/>
        <v>3.7309912986758793E-2</v>
      </c>
      <c r="AG25" s="3">
        <f t="shared" si="24"/>
        <v>3.7309912986758793E-2</v>
      </c>
      <c r="AH25" s="3">
        <f t="shared" si="24"/>
        <v>3.7309912986758793E-2</v>
      </c>
      <c r="AI25" s="3">
        <f t="shared" si="24"/>
        <v>3.7309912986758793E-2</v>
      </c>
      <c r="AJ25" s="3">
        <f t="shared" si="24"/>
        <v>3.7309912986758793E-2</v>
      </c>
      <c r="AK25" s="3">
        <f t="shared" si="24"/>
        <v>3.7309912986758793E-2</v>
      </c>
      <c r="AL25" s="3">
        <f t="shared" si="24"/>
        <v>3.7309912986758793E-2</v>
      </c>
      <c r="AM25" s="3">
        <f t="shared" si="24"/>
        <v>3.7309912986758793E-2</v>
      </c>
      <c r="AN25" s="3">
        <f t="shared" si="24"/>
        <v>3.7309912986758793E-2</v>
      </c>
      <c r="AO25" s="3">
        <f t="shared" si="24"/>
        <v>3.7309912986758793E-2</v>
      </c>
      <c r="AP25" s="3">
        <f t="shared" si="24"/>
        <v>3.7309912986758793E-2</v>
      </c>
      <c r="AQ25" s="3">
        <f t="shared" si="24"/>
        <v>3.7309912986758793E-2</v>
      </c>
      <c r="AR25" s="3">
        <f t="shared" si="24"/>
        <v>3.7309912986758793E-2</v>
      </c>
      <c r="AS25" s="3">
        <f t="shared" si="24"/>
        <v>3.7309912986758793E-2</v>
      </c>
      <c r="AT25" s="3">
        <f t="shared" si="24"/>
        <v>3.7309912986758793E-2</v>
      </c>
      <c r="AU25" s="3">
        <f t="shared" si="24"/>
        <v>3.7309912986758793E-2</v>
      </c>
    </row>
    <row r="26" spans="1:47">
      <c r="A26" s="119"/>
      <c r="B26" s="119"/>
      <c r="C26" s="7" t="str">
        <f>C138&amp;"FleetMix📝"</f>
        <v>(Narrowbody Jets급)FleetMix📝</v>
      </c>
      <c r="D26" s="86" t="s">
        <v>63</v>
      </c>
      <c r="E26" s="86" t="s">
        <v>10</v>
      </c>
      <c r="F26" s="83" t="str">
        <f>C138&amp;"혼합율"</f>
        <v>(Narrowbody Jets급)혼합율</v>
      </c>
      <c r="G26" s="83">
        <f>IFERROR(SUMIF($H$148:$Q$148,"O",H26:Q26)/COUNTIFS($H$148:$Q$148,"O",H26:Q26,"&lt;&gt;0"),0)</f>
        <v>0.96228920507297255</v>
      </c>
      <c r="H26" s="17">
        <f>VLOOKUP($F26,raw_data!$1:$1048576,MATCH(H$1,raw_data!$1:$1,0),FALSE)</f>
        <v>0.9844797178130511</v>
      </c>
      <c r="I26" s="17">
        <f>VLOOKUP($F26,raw_data!$1:$1048576,MATCH(I$1,raw_data!$1:$1,0),FALSE)</f>
        <v>0.96066402020931074</v>
      </c>
      <c r="J26" s="17">
        <f>VLOOKUP($F26,raw_data!$1:$1048576,MATCH(J$1,raw_data!$1:$1,0),FALSE)</f>
        <v>0.9729015201586253</v>
      </c>
      <c r="K26" s="17">
        <f>VLOOKUP($F26,raw_data!$1:$1048576,MATCH(K$1,raw_data!$1:$1,0),FALSE)</f>
        <v>0.9652454317448943</v>
      </c>
      <c r="L26" s="17">
        <f>IFERROR(VLOOKUP($F26,raw_data!$1:$1048576,MATCH(L$1,raw_data!$1:$1,0),FALSE),0)</f>
        <v>0.94367069018879601</v>
      </c>
      <c r="M26" s="17">
        <f>IFERROR(VLOOKUP($F26,raw_data!$1:$1048576,MATCH(M$1,raw_data!$1:$1,0),FALSE),0)</f>
        <v>0.98663926002055502</v>
      </c>
      <c r="N26" s="17">
        <f>IFERROR(VLOOKUP($F26,raw_data!$1:$1048576,MATCH(N$1,raw_data!$1:$1,0),FALSE),0)</f>
        <v>0.97699757869249393</v>
      </c>
      <c r="O26" s="17">
        <f>IFERROR(VLOOKUP($F26,raw_data!$1:$1048576,MATCH(O$1,raw_data!$1:$1,0),FALSE),0)</f>
        <v>0.98248686514886163</v>
      </c>
      <c r="P26" s="17">
        <f>IFERROR(VLOOKUP($F26,raw_data!$1:$1048576,MATCH(P$1,raw_data!$1:$1,0),FALSE),0)</f>
        <v>0.96821120689655171</v>
      </c>
      <c r="Q26" s="17">
        <f>IFERROR(VLOOKUP($F26,raw_data!$1:$1048576,MATCH(Q$1,raw_data!$1:$1,0),FALSE),0)</f>
        <v>0.97795149328522746</v>
      </c>
      <c r="R26" s="3">
        <f>G26</f>
        <v>0.96228920507297255</v>
      </c>
      <c r="S26" s="3">
        <f t="shared" ref="S26:AU26" si="25">R26</f>
        <v>0.96228920507297255</v>
      </c>
      <c r="T26" s="3">
        <f t="shared" si="25"/>
        <v>0.96228920507297255</v>
      </c>
      <c r="U26" s="3">
        <f t="shared" si="25"/>
        <v>0.96228920507297255</v>
      </c>
      <c r="V26" s="3">
        <f t="shared" si="25"/>
        <v>0.96228920507297255</v>
      </c>
      <c r="W26" s="3">
        <f t="shared" si="25"/>
        <v>0.96228920507297255</v>
      </c>
      <c r="X26" s="3">
        <f t="shared" si="25"/>
        <v>0.96228920507297255</v>
      </c>
      <c r="Y26" s="3">
        <f t="shared" si="25"/>
        <v>0.96228920507297255</v>
      </c>
      <c r="Z26" s="3">
        <f t="shared" si="25"/>
        <v>0.96228920507297255</v>
      </c>
      <c r="AA26" s="3">
        <f t="shared" si="25"/>
        <v>0.96228920507297255</v>
      </c>
      <c r="AB26" s="3">
        <f t="shared" si="25"/>
        <v>0.96228920507297255</v>
      </c>
      <c r="AC26" s="3">
        <f t="shared" si="25"/>
        <v>0.96228920507297255</v>
      </c>
      <c r="AD26" s="3">
        <f t="shared" si="25"/>
        <v>0.96228920507297255</v>
      </c>
      <c r="AE26" s="3">
        <f t="shared" si="25"/>
        <v>0.96228920507297255</v>
      </c>
      <c r="AF26" s="3">
        <f t="shared" si="25"/>
        <v>0.96228920507297255</v>
      </c>
      <c r="AG26" s="3">
        <f t="shared" si="25"/>
        <v>0.96228920507297255</v>
      </c>
      <c r="AH26" s="3">
        <f t="shared" si="25"/>
        <v>0.96228920507297255</v>
      </c>
      <c r="AI26" s="3">
        <f t="shared" si="25"/>
        <v>0.96228920507297255</v>
      </c>
      <c r="AJ26" s="3">
        <f t="shared" si="25"/>
        <v>0.96228920507297255</v>
      </c>
      <c r="AK26" s="3">
        <f t="shared" si="25"/>
        <v>0.96228920507297255</v>
      </c>
      <c r="AL26" s="3">
        <f t="shared" si="25"/>
        <v>0.96228920507297255</v>
      </c>
      <c r="AM26" s="3">
        <f t="shared" si="25"/>
        <v>0.96228920507297255</v>
      </c>
      <c r="AN26" s="3">
        <f t="shared" si="25"/>
        <v>0.96228920507297255</v>
      </c>
      <c r="AO26" s="3">
        <f t="shared" si="25"/>
        <v>0.96228920507297255</v>
      </c>
      <c r="AP26" s="3">
        <f t="shared" si="25"/>
        <v>0.96228920507297255</v>
      </c>
      <c r="AQ26" s="3">
        <f t="shared" si="25"/>
        <v>0.96228920507297255</v>
      </c>
      <c r="AR26" s="3">
        <f t="shared" si="25"/>
        <v>0.96228920507297255</v>
      </c>
      <c r="AS26" s="3">
        <f t="shared" si="25"/>
        <v>0.96228920507297255</v>
      </c>
      <c r="AT26" s="3">
        <f t="shared" si="25"/>
        <v>0.96228920507297255</v>
      </c>
      <c r="AU26" s="3">
        <f t="shared" si="25"/>
        <v>0.96228920507297255</v>
      </c>
    </row>
    <row r="27" spans="1:47">
      <c r="A27" s="119"/>
      <c r="B27" s="119"/>
      <c r="C27" s="7" t="str">
        <f>C139&amp;"FleetMix📝"</f>
        <v>(Regional Jets급)FleetMix📝</v>
      </c>
      <c r="D27" s="86" t="s">
        <v>63</v>
      </c>
      <c r="E27" s="86" t="s">
        <v>10</v>
      </c>
      <c r="F27" s="83" t="str">
        <f>C139&amp;"혼합율"</f>
        <v>(Regional Jets급)혼합율</v>
      </c>
      <c r="G27" s="83">
        <f>IFERROR(SUMIF($H$148:$Q$148,"O",H27:Q27)/COUNTIFS($H$148:$Q$148,"O",H27:Q27,"&lt;&gt;0"),0)</f>
        <v>1.202645820805773E-3</v>
      </c>
      <c r="H27" s="17">
        <f>VLOOKUP($F27,raw_data!$1:$1048576,MATCH(H$1,raw_data!$1:$1,0),FALSE)</f>
        <v>0</v>
      </c>
      <c r="I27" s="17">
        <f>VLOOKUP($F27,raw_data!$1:$1048576,MATCH(I$1,raw_data!$1:$1,0),FALSE)</f>
        <v>0</v>
      </c>
      <c r="J27" s="17">
        <f>VLOOKUP($F27,raw_data!$1:$1048576,MATCH(J$1,raw_data!$1:$1,0),FALSE)</f>
        <v>0</v>
      </c>
      <c r="K27" s="17">
        <f>VLOOKUP($F27,raw_data!$1:$1048576,MATCH(K$1,raw_data!$1:$1,0),FALSE)</f>
        <v>0</v>
      </c>
      <c r="L27" s="17">
        <f>IFERROR(VLOOKUP($F27,raw_data!$1:$1048576,MATCH(L$1,raw_data!$1:$1,0),FALSE),0)</f>
        <v>0</v>
      </c>
      <c r="M27" s="17">
        <f>IFERROR(VLOOKUP($F27,raw_data!$1:$1048576,MATCH(M$1,raw_data!$1:$1,0),FALSE),0)</f>
        <v>0</v>
      </c>
      <c r="N27" s="17">
        <f>IFERROR(VLOOKUP($F27,raw_data!$1:$1048576,MATCH(N$1,raw_data!$1:$1,0),FALSE),0)</f>
        <v>0</v>
      </c>
      <c r="O27" s="17">
        <f>IFERROR(VLOOKUP($F27,raw_data!$1:$1048576,MATCH(O$1,raw_data!$1:$1,0),FALSE),0)</f>
        <v>0</v>
      </c>
      <c r="P27" s="17">
        <f>IFERROR(VLOOKUP($F27,raw_data!$1:$1048576,MATCH(P$1,raw_data!$1:$1,0),FALSE),0)</f>
        <v>5.3879310344827585E-4</v>
      </c>
      <c r="Q27" s="17">
        <f>IFERROR(VLOOKUP($F27,raw_data!$1:$1048576,MATCH(Q$1,raw_data!$1:$1,0),FALSE),0)</f>
        <v>1.202645820805773E-3</v>
      </c>
      <c r="R27" s="3">
        <f>G27</f>
        <v>1.202645820805773E-3</v>
      </c>
      <c r="S27" s="3">
        <f t="shared" ref="S27:AU27" si="26">R27</f>
        <v>1.202645820805773E-3</v>
      </c>
      <c r="T27" s="3">
        <f t="shared" si="26"/>
        <v>1.202645820805773E-3</v>
      </c>
      <c r="U27" s="3">
        <f t="shared" si="26"/>
        <v>1.202645820805773E-3</v>
      </c>
      <c r="V27" s="3">
        <f t="shared" si="26"/>
        <v>1.202645820805773E-3</v>
      </c>
      <c r="W27" s="3">
        <f t="shared" si="26"/>
        <v>1.202645820805773E-3</v>
      </c>
      <c r="X27" s="3">
        <f t="shared" si="26"/>
        <v>1.202645820805773E-3</v>
      </c>
      <c r="Y27" s="3">
        <f t="shared" si="26"/>
        <v>1.202645820805773E-3</v>
      </c>
      <c r="Z27" s="3">
        <f t="shared" si="26"/>
        <v>1.202645820805773E-3</v>
      </c>
      <c r="AA27" s="3">
        <f t="shared" si="26"/>
        <v>1.202645820805773E-3</v>
      </c>
      <c r="AB27" s="3">
        <f t="shared" si="26"/>
        <v>1.202645820805773E-3</v>
      </c>
      <c r="AC27" s="3">
        <f t="shared" si="26"/>
        <v>1.202645820805773E-3</v>
      </c>
      <c r="AD27" s="3">
        <f t="shared" si="26"/>
        <v>1.202645820805773E-3</v>
      </c>
      <c r="AE27" s="3">
        <f t="shared" si="26"/>
        <v>1.202645820805773E-3</v>
      </c>
      <c r="AF27" s="3">
        <f t="shared" si="26"/>
        <v>1.202645820805773E-3</v>
      </c>
      <c r="AG27" s="3">
        <f t="shared" si="26"/>
        <v>1.202645820805773E-3</v>
      </c>
      <c r="AH27" s="3">
        <f t="shared" si="26"/>
        <v>1.202645820805773E-3</v>
      </c>
      <c r="AI27" s="3">
        <f t="shared" si="26"/>
        <v>1.202645820805773E-3</v>
      </c>
      <c r="AJ27" s="3">
        <f t="shared" si="26"/>
        <v>1.202645820805773E-3</v>
      </c>
      <c r="AK27" s="3">
        <f t="shared" si="26"/>
        <v>1.202645820805773E-3</v>
      </c>
      <c r="AL27" s="3">
        <f t="shared" si="26"/>
        <v>1.202645820805773E-3</v>
      </c>
      <c r="AM27" s="3">
        <f t="shared" si="26"/>
        <v>1.202645820805773E-3</v>
      </c>
      <c r="AN27" s="3">
        <f t="shared" si="26"/>
        <v>1.202645820805773E-3</v>
      </c>
      <c r="AO27" s="3">
        <f t="shared" si="26"/>
        <v>1.202645820805773E-3</v>
      </c>
      <c r="AP27" s="3">
        <f t="shared" si="26"/>
        <v>1.202645820805773E-3</v>
      </c>
      <c r="AQ27" s="3">
        <f t="shared" si="26"/>
        <v>1.202645820805773E-3</v>
      </c>
      <c r="AR27" s="3">
        <f t="shared" si="26"/>
        <v>1.202645820805773E-3</v>
      </c>
      <c r="AS27" s="3">
        <f t="shared" si="26"/>
        <v>1.202645820805773E-3</v>
      </c>
      <c r="AT27" s="3">
        <f t="shared" si="26"/>
        <v>1.202645820805773E-3</v>
      </c>
      <c r="AU27" s="3">
        <f t="shared" si="26"/>
        <v>1.202645820805773E-3</v>
      </c>
    </row>
    <row r="28" spans="1:47">
      <c r="A28" s="119"/>
      <c r="B28" s="120"/>
      <c r="C28" s="37" t="str">
        <f>C140&amp;"FleetMix📝"</f>
        <v>(Business Jets급)FleetMix📝</v>
      </c>
      <c r="D28" s="87" t="s">
        <v>63</v>
      </c>
      <c r="E28" s="87" t="s">
        <v>10</v>
      </c>
      <c r="F28" s="83" t="str">
        <f>C140&amp;"혼합율"</f>
        <v>(Business Jets급)혼합율</v>
      </c>
      <c r="G28" s="83">
        <f>IFERROR(SUMIF($H$148:$Q$148,"O",H28:Q28)/COUNTIFS($H$148:$Q$148,"O",H28:Q28,"&lt;&gt;0"),0)</f>
        <v>0</v>
      </c>
      <c r="H28" s="17">
        <f>IFERROR(VLOOKUP($F28,raw_data!$1:$1048576,MATCH(H$1,raw_data!$1:$1,0),FALSE),0)</f>
        <v>0</v>
      </c>
      <c r="I28" s="17">
        <f>IFERROR(VLOOKUP($F28,raw_data!$1:$1048576,MATCH(I$1,raw_data!$1:$1,0),FALSE),0)</f>
        <v>0</v>
      </c>
      <c r="J28" s="109">
        <f>IFERROR(VLOOKUP($F28,raw_data!$1:$1048576,MATCH(J$1,raw_data!$1:$1,0),FALSE),0)</f>
        <v>0</v>
      </c>
      <c r="K28" s="109">
        <f>IFERROR(VLOOKUP($F28,raw_data!$1:$1048576,MATCH(K$1,raw_data!$1:$1,0),FALSE),0)</f>
        <v>0</v>
      </c>
      <c r="L28" s="109">
        <f>IFERROR(VLOOKUP($F28,raw_data!$1:$1048576,MATCH(L$1,raw_data!$1:$1,0),FALSE),0)</f>
        <v>0</v>
      </c>
      <c r="M28" s="109">
        <f>IFERROR(VLOOKUP($F28,raw_data!$1:$1048576,MATCH(M$1,raw_data!$1:$1,0),FALSE),0)</f>
        <v>0</v>
      </c>
      <c r="N28" s="109">
        <f>IFERROR(VLOOKUP($F28,raw_data!$1:$1048576,MATCH(N$1,raw_data!$1:$1,0),FALSE),0)</f>
        <v>0</v>
      </c>
      <c r="O28" s="109">
        <f>IFERROR(VLOOKUP($F28,raw_data!$1:$1048576,MATCH(O$1,raw_data!$1:$1,0),FALSE),0)</f>
        <v>0</v>
      </c>
      <c r="P28" s="109">
        <f>IFERROR(VLOOKUP($F28,raw_data!$1:$1048576,MATCH(P$1,raw_data!$1:$1,0),FALSE),0)</f>
        <v>0</v>
      </c>
      <c r="Q28" s="109">
        <f>IFERROR(VLOOKUP($F28,raw_data!$1:$1048576,MATCH(Q$1,raw_data!$1:$1,0),FALSE),0)</f>
        <v>0</v>
      </c>
      <c r="R28" s="18">
        <f>G28</f>
        <v>0</v>
      </c>
      <c r="S28" s="18">
        <f t="shared" ref="S28:AU28" si="27">R28</f>
        <v>0</v>
      </c>
      <c r="T28" s="18">
        <f t="shared" si="27"/>
        <v>0</v>
      </c>
      <c r="U28" s="18">
        <f t="shared" si="27"/>
        <v>0</v>
      </c>
      <c r="V28" s="18">
        <f t="shared" si="27"/>
        <v>0</v>
      </c>
      <c r="W28" s="18">
        <f t="shared" si="27"/>
        <v>0</v>
      </c>
      <c r="X28" s="18">
        <f t="shared" si="27"/>
        <v>0</v>
      </c>
      <c r="Y28" s="18">
        <f t="shared" si="27"/>
        <v>0</v>
      </c>
      <c r="Z28" s="18">
        <f t="shared" si="27"/>
        <v>0</v>
      </c>
      <c r="AA28" s="18">
        <f t="shared" si="27"/>
        <v>0</v>
      </c>
      <c r="AB28" s="18">
        <f t="shared" si="27"/>
        <v>0</v>
      </c>
      <c r="AC28" s="18">
        <f t="shared" si="27"/>
        <v>0</v>
      </c>
      <c r="AD28" s="18">
        <f t="shared" si="27"/>
        <v>0</v>
      </c>
      <c r="AE28" s="18">
        <f t="shared" si="27"/>
        <v>0</v>
      </c>
      <c r="AF28" s="18">
        <f t="shared" si="27"/>
        <v>0</v>
      </c>
      <c r="AG28" s="18">
        <f t="shared" si="27"/>
        <v>0</v>
      </c>
      <c r="AH28" s="18">
        <f t="shared" si="27"/>
        <v>0</v>
      </c>
      <c r="AI28" s="18">
        <f t="shared" si="27"/>
        <v>0</v>
      </c>
      <c r="AJ28" s="18">
        <f t="shared" si="27"/>
        <v>0</v>
      </c>
      <c r="AK28" s="18">
        <f t="shared" si="27"/>
        <v>0</v>
      </c>
      <c r="AL28" s="18">
        <f t="shared" si="27"/>
        <v>0</v>
      </c>
      <c r="AM28" s="18">
        <f t="shared" si="27"/>
        <v>0</v>
      </c>
      <c r="AN28" s="18">
        <f t="shared" si="27"/>
        <v>0</v>
      </c>
      <c r="AO28" s="18">
        <f t="shared" si="27"/>
        <v>0</v>
      </c>
      <c r="AP28" s="18">
        <f t="shared" si="27"/>
        <v>0</v>
      </c>
      <c r="AQ28" s="18">
        <f t="shared" si="27"/>
        <v>0</v>
      </c>
      <c r="AR28" s="18">
        <f t="shared" si="27"/>
        <v>0</v>
      </c>
      <c r="AS28" s="18">
        <f t="shared" si="27"/>
        <v>0</v>
      </c>
      <c r="AT28" s="18">
        <f t="shared" si="27"/>
        <v>0</v>
      </c>
      <c r="AU28" s="18">
        <f t="shared" si="27"/>
        <v>0</v>
      </c>
    </row>
    <row r="29" spans="1:47">
      <c r="A29" s="119"/>
      <c r="B29" s="125" t="s">
        <v>64</v>
      </c>
      <c r="C29" s="65" t="str">
        <f>C137&amp;"Movements"</f>
        <v>(Widebody Jets급)Movements</v>
      </c>
      <c r="D29" s="90" t="s">
        <v>9</v>
      </c>
      <c r="E29" s="90"/>
      <c r="F29" s="82" t="str">
        <f>C137&amp;"운항횟수"</f>
        <v>(Widebody Jets급)운항횟수</v>
      </c>
      <c r="G29" s="82"/>
      <c r="H29" s="16">
        <f>VLOOKUP($F29,raw_data!$1:$1048576,MATCH(H$1,raw_data!$1:$1,0),FALSE)</f>
        <v>44</v>
      </c>
      <c r="I29" s="16">
        <f>VLOOKUP($F29,raw_data!$1:$1048576,MATCH(I$1,raw_data!$1:$1,0),FALSE)</f>
        <v>109</v>
      </c>
      <c r="J29" s="2">
        <f>VLOOKUP($F29,raw_data!$1:$1048576,MATCH(J$1,raw_data!$1:$1,0),FALSE)</f>
        <v>82</v>
      </c>
      <c r="K29" s="2">
        <f>VLOOKUP($F29,raw_data!$1:$1048576,MATCH(K$1,raw_data!$1:$1,0),FALSE)</f>
        <v>97</v>
      </c>
      <c r="L29" s="2">
        <f>IFERROR(VLOOKUP($F29,raw_data!$1:$1048576,MATCH(L$1,raw_data!$1:$1,0),FALSE),0)</f>
        <v>182</v>
      </c>
      <c r="M29" s="2">
        <f>IFERROR(VLOOKUP($F29,raw_data!$1:$1048576,MATCH(M$1,raw_data!$1:$1,0),FALSE),0)</f>
        <v>13</v>
      </c>
      <c r="N29" s="2">
        <f>IFERROR(VLOOKUP($F29,raw_data!$1:$1048576,MATCH(N$1,raw_data!$1:$1,0),FALSE),0)</f>
        <v>57</v>
      </c>
      <c r="O29" s="2">
        <f>IFERROR(VLOOKUP($F29,raw_data!$1:$1048576,MATCH(O$1,raw_data!$1:$1,0),FALSE),0)</f>
        <v>70</v>
      </c>
      <c r="P29" s="2">
        <f>IFERROR(VLOOKUP($F29,raw_data!$1:$1048576,MATCH(P$1,raw_data!$1:$1,0),FALSE),0)</f>
        <v>116</v>
      </c>
      <c r="Q29" s="2">
        <f>IFERROR(VLOOKUP($F29,raw_data!$1:$1048576,MATCH(Q$1,raw_data!$1:$1,0),FALSE),0)</f>
        <v>104</v>
      </c>
      <c r="R29" s="1">
        <f t="shared" ref="R29:AU29" si="28">R20*R25</f>
        <v>202.06611371582156</v>
      </c>
      <c r="S29" s="16">
        <f t="shared" si="28"/>
        <v>223.03017985671718</v>
      </c>
      <c r="T29" s="16">
        <f t="shared" si="28"/>
        <v>247.05268774329917</v>
      </c>
      <c r="U29" s="16">
        <f t="shared" si="28"/>
        <v>272.36019507499179</v>
      </c>
      <c r="V29" s="16">
        <f t="shared" si="28"/>
        <v>299.9493302177334</v>
      </c>
      <c r="W29" s="16">
        <f t="shared" si="28"/>
        <v>331.72159892489083</v>
      </c>
      <c r="X29" s="16">
        <f t="shared" si="28"/>
        <v>360.0090493669598</v>
      </c>
      <c r="Y29" s="16">
        <f t="shared" si="28"/>
        <v>391.74414453633528</v>
      </c>
      <c r="Z29" s="16">
        <f t="shared" si="28"/>
        <v>428.68756688330251</v>
      </c>
      <c r="AA29" s="16">
        <f t="shared" si="28"/>
        <v>470.10400165792606</v>
      </c>
      <c r="AB29" s="16">
        <f t="shared" si="28"/>
        <v>516.64116454569876</v>
      </c>
      <c r="AC29" s="16">
        <f t="shared" si="28"/>
        <v>560.35218207758101</v>
      </c>
      <c r="AD29" s="16">
        <f t="shared" si="28"/>
        <v>604.21809729773963</v>
      </c>
      <c r="AE29" s="16">
        <f t="shared" si="28"/>
        <v>648.3522981942117</v>
      </c>
      <c r="AF29" s="16">
        <f t="shared" si="28"/>
        <v>692.6389274847528</v>
      </c>
      <c r="AG29" s="16">
        <f t="shared" si="28"/>
        <v>736.30882154555536</v>
      </c>
      <c r="AH29" s="16">
        <f t="shared" si="28"/>
        <v>780.62148946770958</v>
      </c>
      <c r="AI29" s="16">
        <f t="shared" si="28"/>
        <v>824.88793150452318</v>
      </c>
      <c r="AJ29" s="16">
        <f t="shared" si="28"/>
        <v>856.69417117239755</v>
      </c>
      <c r="AK29" s="16">
        <f t="shared" si="28"/>
        <v>890.57947448613243</v>
      </c>
      <c r="AL29" s="16">
        <f t="shared" si="28"/>
        <v>925.63514470594396</v>
      </c>
      <c r="AM29" s="16">
        <f t="shared" si="28"/>
        <v>961.93757009995227</v>
      </c>
      <c r="AN29" s="16">
        <f t="shared" si="28"/>
        <v>999.40875464620296</v>
      </c>
      <c r="AO29" s="16">
        <f t="shared" si="28"/>
        <v>1038.6920832113576</v>
      </c>
      <c r="AP29" s="16">
        <f t="shared" si="28"/>
        <v>1079.8824542997722</v>
      </c>
      <c r="AQ29" s="16">
        <f t="shared" si="28"/>
        <v>1121.97247015688</v>
      </c>
      <c r="AR29" s="16">
        <f t="shared" si="28"/>
        <v>1166.3458042170162</v>
      </c>
      <c r="AS29" s="16">
        <f t="shared" si="28"/>
        <v>1212.5371487920647</v>
      </c>
      <c r="AT29" s="16">
        <f t="shared" si="28"/>
        <v>1259.9037015597501</v>
      </c>
      <c r="AU29" s="16">
        <f t="shared" si="28"/>
        <v>1309.6042340501315</v>
      </c>
    </row>
    <row r="30" spans="1:47">
      <c r="A30" s="119"/>
      <c r="B30" s="119"/>
      <c r="C30" s="7" t="str">
        <f>C138&amp;"Movements"</f>
        <v>(Narrowbody Jets급)Movements</v>
      </c>
      <c r="D30" s="86" t="s">
        <v>9</v>
      </c>
      <c r="E30" s="86"/>
      <c r="F30" s="83" t="str">
        <f>C138&amp;"운항횟수"</f>
        <v>(Narrowbody Jets급)운항횟수</v>
      </c>
      <c r="G30" s="83"/>
      <c r="H30" s="2">
        <f>VLOOKUP($F30,raw_data!$1:$1048576,MATCH(H$1,raw_data!$1:$1,0),FALSE)</f>
        <v>2791</v>
      </c>
      <c r="I30" s="2">
        <f>VLOOKUP($F30,raw_data!$1:$1048576,MATCH(I$1,raw_data!$1:$1,0),FALSE)</f>
        <v>2662</v>
      </c>
      <c r="J30" s="2">
        <f>VLOOKUP($F30,raw_data!$1:$1048576,MATCH(J$1,raw_data!$1:$1,0),FALSE)</f>
        <v>2944</v>
      </c>
      <c r="K30" s="2">
        <f>VLOOKUP($F30,raw_data!$1:$1048576,MATCH(K$1,raw_data!$1:$1,0),FALSE)</f>
        <v>2694</v>
      </c>
      <c r="L30" s="2">
        <f>IFERROR(VLOOKUP($F30,raw_data!$1:$1048576,MATCH(L$1,raw_data!$1:$1,0),FALSE),0)</f>
        <v>3049</v>
      </c>
      <c r="M30" s="2">
        <f>IFERROR(VLOOKUP($F30,raw_data!$1:$1048576,MATCH(M$1,raw_data!$1:$1,0),FALSE),0)</f>
        <v>960</v>
      </c>
      <c r="N30" s="2">
        <f>IFERROR(VLOOKUP($F30,raw_data!$1:$1048576,MATCH(N$1,raw_data!$1:$1,0),FALSE),0)</f>
        <v>2421</v>
      </c>
      <c r="O30" s="2">
        <f>IFERROR(VLOOKUP($F30,raw_data!$1:$1048576,MATCH(O$1,raw_data!$1:$1,0),FALSE),0)</f>
        <v>3927</v>
      </c>
      <c r="P30" s="2">
        <f>IFERROR(VLOOKUP($F30,raw_data!$1:$1048576,MATCH(P$1,raw_data!$1:$1,0),FALSE),0)</f>
        <v>3594</v>
      </c>
      <c r="Q30" s="2">
        <f>IFERROR(VLOOKUP($F30,raw_data!$1:$1048576,MATCH(Q$1,raw_data!$1:$1,0),FALSE),0)</f>
        <v>4879</v>
      </c>
      <c r="R30" s="2">
        <f t="shared" ref="R30:AU30" si="29">R20*R26</f>
        <v>5211.6454950937914</v>
      </c>
      <c r="S30" s="2">
        <f t="shared" si="29"/>
        <v>5752.3461541647248</v>
      </c>
      <c r="T30" s="2">
        <f t="shared" si="29"/>
        <v>6371.9294811545851</v>
      </c>
      <c r="U30" s="2">
        <f t="shared" si="29"/>
        <v>7024.6552358685076</v>
      </c>
      <c r="V30" s="2">
        <f t="shared" si="29"/>
        <v>7736.2282415354393</v>
      </c>
      <c r="W30" s="2">
        <f t="shared" si="29"/>
        <v>8555.6917232226278</v>
      </c>
      <c r="X30" s="2">
        <f t="shared" si="29"/>
        <v>9285.2755260339654</v>
      </c>
      <c r="Y30" s="2">
        <f t="shared" si="29"/>
        <v>10103.780235875865</v>
      </c>
      <c r="Z30" s="2">
        <f t="shared" si="29"/>
        <v>11056.616993644635</v>
      </c>
      <c r="AA30" s="2">
        <f t="shared" si="29"/>
        <v>12124.820720369311</v>
      </c>
      <c r="AB30" s="2">
        <f t="shared" si="29"/>
        <v>13325.097158899718</v>
      </c>
      <c r="AC30" s="2">
        <f t="shared" si="29"/>
        <v>14452.482267747697</v>
      </c>
      <c r="AD30" s="2">
        <f t="shared" si="29"/>
        <v>15583.862464265061</v>
      </c>
      <c r="AE30" s="2">
        <f t="shared" si="29"/>
        <v>16722.162226911772</v>
      </c>
      <c r="AF30" s="2">
        <f t="shared" si="29"/>
        <v>17864.393389725814</v>
      </c>
      <c r="AG30" s="2">
        <f t="shared" si="29"/>
        <v>18990.717850903315</v>
      </c>
      <c r="AH30" s="2">
        <f t="shared" si="29"/>
        <v>20133.620596471384</v>
      </c>
      <c r="AI30" s="2">
        <f t="shared" si="29"/>
        <v>21275.331094004086</v>
      </c>
      <c r="AJ30" s="2">
        <f t="shared" si="29"/>
        <v>22095.67074736167</v>
      </c>
      <c r="AK30" s="2">
        <f t="shared" si="29"/>
        <v>22969.633160541318</v>
      </c>
      <c r="AL30" s="2">
        <f t="shared" si="29"/>
        <v>23873.781423794968</v>
      </c>
      <c r="AM30" s="2">
        <f t="shared" si="29"/>
        <v>24810.085726810066</v>
      </c>
      <c r="AN30" s="2">
        <f t="shared" si="29"/>
        <v>25776.53441306005</v>
      </c>
      <c r="AO30" s="2">
        <f t="shared" si="29"/>
        <v>26789.72152585227</v>
      </c>
      <c r="AP30" s="2">
        <f t="shared" si="29"/>
        <v>27852.094666883138</v>
      </c>
      <c r="AQ30" s="2">
        <f t="shared" si="29"/>
        <v>28937.671251181779</v>
      </c>
      <c r="AR30" s="2">
        <f t="shared" si="29"/>
        <v>30082.138684657697</v>
      </c>
      <c r="AS30" s="2">
        <f t="shared" si="29"/>
        <v>31273.495852071901</v>
      </c>
      <c r="AT30" s="2">
        <f t="shared" si="29"/>
        <v>32495.163734975813</v>
      </c>
      <c r="AU30" s="2">
        <f t="shared" si="29"/>
        <v>33777.029118013452</v>
      </c>
    </row>
    <row r="31" spans="1:47">
      <c r="A31" s="119"/>
      <c r="B31" s="119"/>
      <c r="C31" s="7" t="str">
        <f>C139&amp;"Movements"</f>
        <v>(Regional Jets급)Movements</v>
      </c>
      <c r="D31" s="86" t="s">
        <v>9</v>
      </c>
      <c r="E31" s="86"/>
      <c r="F31" s="83" t="str">
        <f>C139&amp;"운항횟수"</f>
        <v>(Regional Jets급)운항횟수</v>
      </c>
      <c r="G31" s="83"/>
      <c r="H31" s="2">
        <f>VLOOKUP($F31,raw_data!$1:$1048576,MATCH(H$1,raw_data!$1:$1,0),FALSE)</f>
        <v>0</v>
      </c>
      <c r="I31" s="2">
        <f>VLOOKUP($F31,raw_data!$1:$1048576,MATCH(I$1,raw_data!$1:$1,0),FALSE)</f>
        <v>0</v>
      </c>
      <c r="J31" s="2">
        <f>VLOOKUP($F31,raw_data!$1:$1048576,MATCH(J$1,raw_data!$1:$1,0),FALSE)</f>
        <v>0</v>
      </c>
      <c r="K31" s="2">
        <f>VLOOKUP($F31,raw_data!$1:$1048576,MATCH(K$1,raw_data!$1:$1,0),FALSE)</f>
        <v>0</v>
      </c>
      <c r="L31" s="2">
        <f>IFERROR(VLOOKUP($F31,raw_data!$1:$1048576,MATCH(L$1,raw_data!$1:$1,0),FALSE),0)</f>
        <v>0</v>
      </c>
      <c r="M31" s="2">
        <f>IFERROR(VLOOKUP($F31,raw_data!$1:$1048576,MATCH(M$1,raw_data!$1:$1,0),FALSE),0)</f>
        <v>0</v>
      </c>
      <c r="N31" s="2">
        <f>IFERROR(VLOOKUP($F31,raw_data!$1:$1048576,MATCH(N$1,raw_data!$1:$1,0),FALSE),0)</f>
        <v>0</v>
      </c>
      <c r="O31" s="2">
        <f>IFERROR(VLOOKUP($F31,raw_data!$1:$1048576,MATCH(O$1,raw_data!$1:$1,0),FALSE),0)</f>
        <v>0</v>
      </c>
      <c r="P31" s="2">
        <f>IFERROR(VLOOKUP($F31,raw_data!$1:$1048576,MATCH(P$1,raw_data!$1:$1,0),FALSE),0)</f>
        <v>2</v>
      </c>
      <c r="Q31" s="2">
        <f>IFERROR(VLOOKUP($F31,raw_data!$1:$1048576,MATCH(Q$1,raw_data!$1:$1,0),FALSE),0)</f>
        <v>6</v>
      </c>
      <c r="R31" s="2">
        <f t="shared" ref="R31:AU31" si="30">R20*R27</f>
        <v>6.5133887412989147</v>
      </c>
      <c r="S31" s="2">
        <f t="shared" si="30"/>
        <v>7.1891433735970853</v>
      </c>
      <c r="T31" s="2">
        <f t="shared" si="30"/>
        <v>7.9634836601939671</v>
      </c>
      <c r="U31" s="2">
        <f t="shared" si="30"/>
        <v>8.7792445529699226</v>
      </c>
      <c r="V31" s="2">
        <f t="shared" si="30"/>
        <v>9.6685513195346005</v>
      </c>
      <c r="W31" s="2">
        <f t="shared" si="30"/>
        <v>10.692696998773837</v>
      </c>
      <c r="X31" s="2">
        <f t="shared" si="30"/>
        <v>11.604513224865766</v>
      </c>
      <c r="Y31" s="2">
        <f t="shared" si="30"/>
        <v>12.627460654195552</v>
      </c>
      <c r="Z31" s="2">
        <f t="shared" si="30"/>
        <v>13.81829303452329</v>
      </c>
      <c r="AA31" s="2">
        <f t="shared" si="30"/>
        <v>15.153308267929305</v>
      </c>
      <c r="AB31" s="2">
        <f t="shared" si="30"/>
        <v>16.653384788584823</v>
      </c>
      <c r="AC31" s="2">
        <f t="shared" si="30"/>
        <v>18.062363484850952</v>
      </c>
      <c r="AD31" s="2">
        <f t="shared" si="30"/>
        <v>19.476335145253024</v>
      </c>
      <c r="AE31" s="2">
        <f t="shared" si="30"/>
        <v>20.898954712379371</v>
      </c>
      <c r="AF31" s="2">
        <f t="shared" si="30"/>
        <v>22.326487648538887</v>
      </c>
      <c r="AG31" s="2">
        <f t="shared" si="30"/>
        <v>23.734140772948319</v>
      </c>
      <c r="AH31" s="2">
        <f t="shared" si="30"/>
        <v>25.162513037023182</v>
      </c>
      <c r="AI31" s="2">
        <f t="shared" si="30"/>
        <v>26.589395258281872</v>
      </c>
      <c r="AJ31" s="2">
        <f t="shared" si="30"/>
        <v>27.614635955725777</v>
      </c>
      <c r="AK31" s="2">
        <f t="shared" si="30"/>
        <v>28.706893084051483</v>
      </c>
      <c r="AL31" s="2">
        <f t="shared" si="30"/>
        <v>29.836875759174958</v>
      </c>
      <c r="AM31" s="2">
        <f t="shared" si="30"/>
        <v>31.00704627661122</v>
      </c>
      <c r="AN31" s="2">
        <f t="shared" si="30"/>
        <v>32.21489051659065</v>
      </c>
      <c r="AO31" s="2">
        <f t="shared" si="30"/>
        <v>33.481147313892485</v>
      </c>
      <c r="AP31" s="2">
        <f t="shared" si="30"/>
        <v>34.808875622036794</v>
      </c>
      <c r="AQ31" s="2">
        <f t="shared" si="30"/>
        <v>36.165603033493483</v>
      </c>
      <c r="AR31" s="2">
        <f t="shared" si="30"/>
        <v>37.595930806747212</v>
      </c>
      <c r="AS31" s="2">
        <f t="shared" si="30"/>
        <v>39.084860237654674</v>
      </c>
      <c r="AT31" s="2">
        <f t="shared" si="30"/>
        <v>40.611671269142455</v>
      </c>
      <c r="AU31" s="2">
        <f t="shared" si="30"/>
        <v>42.213715683252772</v>
      </c>
    </row>
    <row r="32" spans="1:47">
      <c r="A32" s="119"/>
      <c r="B32" s="120"/>
      <c r="C32" s="37" t="str">
        <f>C140&amp;"Movements"</f>
        <v>(Business Jets급)Movements</v>
      </c>
      <c r="D32" s="87" t="s">
        <v>9</v>
      </c>
      <c r="E32" s="87"/>
      <c r="F32" s="84" t="str">
        <f>C140&amp;"운항횟수"</f>
        <v>(Business Jets급)운항횟수</v>
      </c>
      <c r="G32" s="84"/>
      <c r="H32" s="14">
        <f>IFERROR(VLOOKUP($F32,raw_data!$1:$1048576,MATCH(H$1,raw_data!$1:$1,0),FALSE),0)</f>
        <v>0</v>
      </c>
      <c r="I32" s="14">
        <f>IFERROR(VLOOKUP($F32,raw_data!$1:$1048576,MATCH(I$1,raw_data!$1:$1,0),FALSE),0)</f>
        <v>0</v>
      </c>
      <c r="J32" s="14">
        <f>IFERROR(VLOOKUP($F32,raw_data!$1:$1048576,MATCH(J$1,raw_data!$1:$1,0),FALSE),0)</f>
        <v>0</v>
      </c>
      <c r="K32" s="14">
        <f>IFERROR(VLOOKUP($F32,raw_data!$1:$1048576,MATCH(K$1,raw_data!$1:$1,0),FALSE),0)</f>
        <v>0</v>
      </c>
      <c r="L32" s="14">
        <f>IFERROR(VLOOKUP($F32,raw_data!$1:$1048576,MATCH(L$1,raw_data!$1:$1,0),FALSE),0)</f>
        <v>0</v>
      </c>
      <c r="M32" s="14">
        <f>IFERROR(VLOOKUP($F32,raw_data!$1:$1048576,MATCH(M$1,raw_data!$1:$1,0),FALSE),0)</f>
        <v>0</v>
      </c>
      <c r="N32" s="14">
        <f>IFERROR(VLOOKUP($F32,raw_data!$1:$1048576,MATCH(N$1,raw_data!$1:$1,0),FALSE),0)</f>
        <v>0</v>
      </c>
      <c r="O32" s="14">
        <f>IFERROR(VLOOKUP($F32,raw_data!$1:$1048576,MATCH(O$1,raw_data!$1:$1,0),FALSE),0)</f>
        <v>0</v>
      </c>
      <c r="P32" s="14">
        <f>IFERROR(VLOOKUP($F32,raw_data!$1:$1048576,MATCH(P$1,raw_data!$1:$1,0),FALSE),0)</f>
        <v>0</v>
      </c>
      <c r="Q32" s="14">
        <f>IFERROR(VLOOKUP($F32,raw_data!$1:$1048576,MATCH(Q$1,raw_data!$1:$1,0),FALSE),0)</f>
        <v>0</v>
      </c>
      <c r="R32" s="14">
        <f t="shared" ref="R32:AU32" si="31">R20*R28</f>
        <v>0</v>
      </c>
      <c r="S32" s="14">
        <f t="shared" si="31"/>
        <v>0</v>
      </c>
      <c r="T32" s="14">
        <f t="shared" si="31"/>
        <v>0</v>
      </c>
      <c r="U32" s="14">
        <f t="shared" si="31"/>
        <v>0</v>
      </c>
      <c r="V32" s="14">
        <f t="shared" si="31"/>
        <v>0</v>
      </c>
      <c r="W32" s="14">
        <f t="shared" si="31"/>
        <v>0</v>
      </c>
      <c r="X32" s="14">
        <f t="shared" si="31"/>
        <v>0</v>
      </c>
      <c r="Y32" s="14">
        <f t="shared" si="31"/>
        <v>0</v>
      </c>
      <c r="Z32" s="14">
        <f t="shared" si="31"/>
        <v>0</v>
      </c>
      <c r="AA32" s="14">
        <f t="shared" si="31"/>
        <v>0</v>
      </c>
      <c r="AB32" s="14">
        <f t="shared" si="31"/>
        <v>0</v>
      </c>
      <c r="AC32" s="14">
        <f t="shared" si="31"/>
        <v>0</v>
      </c>
      <c r="AD32" s="14">
        <f t="shared" si="31"/>
        <v>0</v>
      </c>
      <c r="AE32" s="14">
        <f t="shared" si="31"/>
        <v>0</v>
      </c>
      <c r="AF32" s="14">
        <f t="shared" si="31"/>
        <v>0</v>
      </c>
      <c r="AG32" s="14">
        <f t="shared" si="31"/>
        <v>0</v>
      </c>
      <c r="AH32" s="14">
        <f t="shared" si="31"/>
        <v>0</v>
      </c>
      <c r="AI32" s="14">
        <f t="shared" si="31"/>
        <v>0</v>
      </c>
      <c r="AJ32" s="14">
        <f t="shared" si="31"/>
        <v>0</v>
      </c>
      <c r="AK32" s="14">
        <f t="shared" si="31"/>
        <v>0</v>
      </c>
      <c r="AL32" s="14">
        <f t="shared" si="31"/>
        <v>0</v>
      </c>
      <c r="AM32" s="14">
        <f t="shared" si="31"/>
        <v>0</v>
      </c>
      <c r="AN32" s="14">
        <f t="shared" si="31"/>
        <v>0</v>
      </c>
      <c r="AO32" s="14">
        <f t="shared" si="31"/>
        <v>0</v>
      </c>
      <c r="AP32" s="14">
        <f t="shared" si="31"/>
        <v>0</v>
      </c>
      <c r="AQ32" s="14">
        <f t="shared" si="31"/>
        <v>0</v>
      </c>
      <c r="AR32" s="14">
        <f t="shared" si="31"/>
        <v>0</v>
      </c>
      <c r="AS32" s="14">
        <f t="shared" si="31"/>
        <v>0</v>
      </c>
      <c r="AT32" s="14">
        <f t="shared" si="31"/>
        <v>0</v>
      </c>
      <c r="AU32" s="14">
        <f t="shared" si="31"/>
        <v>0</v>
      </c>
    </row>
    <row r="33" spans="1:47">
      <c r="A33" s="119"/>
      <c r="B33" s="125" t="s">
        <v>65</v>
      </c>
      <c r="C33" s="65" t="str">
        <f>C137&amp;"MTOW"</f>
        <v>(Widebody Jets급)MTOW</v>
      </c>
      <c r="D33" s="90" t="s">
        <v>9</v>
      </c>
      <c r="E33" s="90"/>
      <c r="F33" s="77" t="str">
        <f>C137&amp;"대당최대이륙중량"</f>
        <v>(Widebody Jets급)대당최대이륙중량</v>
      </c>
      <c r="G33" s="77">
        <f>IFERROR(SUMIF($H$158:$Q$158,"O",H33:Q33)/COUNTIFS($H$158:$Q$158,"O",H33:Q33,"&lt;&gt;0"),0)</f>
        <v>431754.3332955704</v>
      </c>
      <c r="H33" s="16">
        <f>VLOOKUP($F33,raw_data!$1:$1048576,MATCH(H$1,raw_data!$1:$1,0),FALSE)</f>
        <v>398545.45454545447</v>
      </c>
      <c r="I33" s="16">
        <f>VLOOKUP($F33,raw_data!$1:$1048576,MATCH(I$1,raw_data!$1:$1,0),FALSE)</f>
        <v>448311.92660550459</v>
      </c>
      <c r="J33" s="16">
        <f>VLOOKUP($F33,raw_data!$1:$1048576,MATCH(J$1,raw_data!$1:$1,0),FALSE)</f>
        <v>434536.58536585368</v>
      </c>
      <c r="K33" s="16">
        <f>VLOOKUP($F33,raw_data!$1:$1048576,MATCH(K$1,raw_data!$1:$1,0),FALSE)</f>
        <v>412927.8350515464</v>
      </c>
      <c r="L33" s="16">
        <f>VLOOKUP($F33,raw_data!$1:$1048576,MATCH(L$1,raw_data!$1:$1,0),FALSE)</f>
        <v>408835.16483516479</v>
      </c>
      <c r="M33" s="16">
        <f>VLOOKUP($F33,raw_data!$1:$1048576,MATCH(M$1,raw_data!$1:$1,0),FALSE)</f>
        <v>374000</v>
      </c>
      <c r="N33" s="16">
        <f>VLOOKUP($F33,raw_data!$1:$1048576,MATCH(N$1,raw_data!$1:$1,0),FALSE)</f>
        <v>391438.59649122809</v>
      </c>
      <c r="O33" s="16">
        <f>VLOOKUP($F33,raw_data!$1:$1048576,MATCH(O$1,raw_data!$1:$1,0),FALSE)</f>
        <v>377771.42857142858</v>
      </c>
      <c r="P33" s="16">
        <f>VLOOKUP($F33,raw_data!$1:$1048576,MATCH(P$1,raw_data!$1:$1,0),FALSE)</f>
        <v>412206.89655172412</v>
      </c>
      <c r="Q33" s="16">
        <f>VLOOKUP($F33,raw_data!$1:$1048576,MATCH(Q$1,raw_data!$1:$1,0),FALSE)</f>
        <v>473500</v>
      </c>
      <c r="R33" s="2">
        <f t="shared" ref="R33:R40" si="32">G33</f>
        <v>431754.3332955704</v>
      </c>
      <c r="S33" s="2">
        <f t="shared" ref="S33:AU33" si="33">R33</f>
        <v>431754.3332955704</v>
      </c>
      <c r="T33" s="2">
        <f t="shared" si="33"/>
        <v>431754.3332955704</v>
      </c>
      <c r="U33" s="2">
        <f t="shared" si="33"/>
        <v>431754.3332955704</v>
      </c>
      <c r="V33" s="2">
        <f t="shared" si="33"/>
        <v>431754.3332955704</v>
      </c>
      <c r="W33" s="2">
        <f t="shared" si="33"/>
        <v>431754.3332955704</v>
      </c>
      <c r="X33" s="2">
        <f t="shared" si="33"/>
        <v>431754.3332955704</v>
      </c>
      <c r="Y33" s="2">
        <f t="shared" si="33"/>
        <v>431754.3332955704</v>
      </c>
      <c r="Z33" s="2">
        <f t="shared" si="33"/>
        <v>431754.3332955704</v>
      </c>
      <c r="AA33" s="2">
        <f t="shared" si="33"/>
        <v>431754.3332955704</v>
      </c>
      <c r="AB33" s="2">
        <f t="shared" si="33"/>
        <v>431754.3332955704</v>
      </c>
      <c r="AC33" s="2">
        <f t="shared" si="33"/>
        <v>431754.3332955704</v>
      </c>
      <c r="AD33" s="2">
        <f t="shared" si="33"/>
        <v>431754.3332955704</v>
      </c>
      <c r="AE33" s="2">
        <f t="shared" si="33"/>
        <v>431754.3332955704</v>
      </c>
      <c r="AF33" s="2">
        <f t="shared" si="33"/>
        <v>431754.3332955704</v>
      </c>
      <c r="AG33" s="2">
        <f t="shared" si="33"/>
        <v>431754.3332955704</v>
      </c>
      <c r="AH33" s="2">
        <f t="shared" si="33"/>
        <v>431754.3332955704</v>
      </c>
      <c r="AI33" s="2">
        <f t="shared" si="33"/>
        <v>431754.3332955704</v>
      </c>
      <c r="AJ33" s="2">
        <f t="shared" si="33"/>
        <v>431754.3332955704</v>
      </c>
      <c r="AK33" s="2">
        <f t="shared" si="33"/>
        <v>431754.3332955704</v>
      </c>
      <c r="AL33" s="2">
        <f t="shared" si="33"/>
        <v>431754.3332955704</v>
      </c>
      <c r="AM33" s="2">
        <f t="shared" si="33"/>
        <v>431754.3332955704</v>
      </c>
      <c r="AN33" s="2">
        <f t="shared" si="33"/>
        <v>431754.3332955704</v>
      </c>
      <c r="AO33" s="2">
        <f t="shared" si="33"/>
        <v>431754.3332955704</v>
      </c>
      <c r="AP33" s="2">
        <f t="shared" si="33"/>
        <v>431754.3332955704</v>
      </c>
      <c r="AQ33" s="2">
        <f t="shared" si="33"/>
        <v>431754.3332955704</v>
      </c>
      <c r="AR33" s="2">
        <f t="shared" si="33"/>
        <v>431754.3332955704</v>
      </c>
      <c r="AS33" s="2">
        <f t="shared" si="33"/>
        <v>431754.3332955704</v>
      </c>
      <c r="AT33" s="2">
        <f t="shared" si="33"/>
        <v>431754.3332955704</v>
      </c>
      <c r="AU33" s="2">
        <f t="shared" si="33"/>
        <v>431754.3332955704</v>
      </c>
    </row>
    <row r="34" spans="1:47">
      <c r="A34" s="119"/>
      <c r="B34" s="119"/>
      <c r="C34" s="7" t="str">
        <f>C138&amp;"MTOW"</f>
        <v>(Narrowbody Jets급)MTOW</v>
      </c>
      <c r="D34" s="86" t="s">
        <v>9</v>
      </c>
      <c r="E34" s="86"/>
      <c r="F34" s="79" t="str">
        <f>C138&amp;"대당최대이륙중량"</f>
        <v>(Narrowbody Jets급)대당최대이륙중량</v>
      </c>
      <c r="G34" s="79">
        <f>IFERROR(SUMIF($H$158:$Q$158,"O",H34:Q34)/COUNTIFS($H$158:$Q$158,"O",H34:Q34,"&lt;&gt;0"),0)</f>
        <v>160862.15062278596</v>
      </c>
      <c r="H34" s="2">
        <f>VLOOKUP($F34,raw_data!$1:$1048576,MATCH(H$1,raw_data!$1:$1,0),FALSE)</f>
        <v>138341.81297026161</v>
      </c>
      <c r="I34" s="2">
        <f>VLOOKUP($F34,raw_data!$1:$1048576,MATCH(I$1,raw_data!$1:$1,0),FALSE)</f>
        <v>133238.1667918858</v>
      </c>
      <c r="J34" s="2">
        <f>VLOOKUP($F34,raw_data!$1:$1048576,MATCH(J$1,raw_data!$1:$1,0),FALSE)</f>
        <v>127570.652173913</v>
      </c>
      <c r="K34" s="2">
        <f>VLOOKUP($F34,raw_data!$1:$1048576,MATCH(K$1,raw_data!$1:$1,0),FALSE)</f>
        <v>164580.54936896809</v>
      </c>
      <c r="L34" s="2">
        <f>VLOOKUP($F34,raw_data!$1:$1048576,MATCH(L$1,raw_data!$1:$1,0),FALSE)</f>
        <v>172663.82420465731</v>
      </c>
      <c r="M34" s="2">
        <f>VLOOKUP($F34,raw_data!$1:$1048576,MATCH(M$1,raw_data!$1:$1,0),FALSE)</f>
        <v>170662.5</v>
      </c>
      <c r="N34" s="2">
        <f>VLOOKUP($F34,raw_data!$1:$1048576,MATCH(N$1,raw_data!$1:$1,0),FALSE)</f>
        <v>163061.54481619169</v>
      </c>
      <c r="O34" s="2">
        <f>VLOOKUP($F34,raw_data!$1:$1048576,MATCH(O$1,raw_data!$1:$1,0),FALSE)</f>
        <v>150595.8747135218</v>
      </c>
      <c r="P34" s="2">
        <f>VLOOKUP($F34,raw_data!$1:$1048576,MATCH(P$1,raw_data!$1:$1,0),FALSE)</f>
        <v>160853.64496382861</v>
      </c>
      <c r="Q34" s="2">
        <f>VLOOKUP($F34,raw_data!$1:$1048576,MATCH(Q$1,raw_data!$1:$1,0),FALSE)</f>
        <v>145342.07829473249</v>
      </c>
      <c r="R34" s="2">
        <f t="shared" si="32"/>
        <v>160862.15062278596</v>
      </c>
      <c r="S34" s="2">
        <f t="shared" ref="S34:AU34" si="34">R34</f>
        <v>160862.15062278596</v>
      </c>
      <c r="T34" s="2">
        <f t="shared" si="34"/>
        <v>160862.15062278596</v>
      </c>
      <c r="U34" s="2">
        <f t="shared" si="34"/>
        <v>160862.15062278596</v>
      </c>
      <c r="V34" s="2">
        <f t="shared" si="34"/>
        <v>160862.15062278596</v>
      </c>
      <c r="W34" s="2">
        <f t="shared" si="34"/>
        <v>160862.15062278596</v>
      </c>
      <c r="X34" s="2">
        <f t="shared" si="34"/>
        <v>160862.15062278596</v>
      </c>
      <c r="Y34" s="2">
        <f t="shared" si="34"/>
        <v>160862.15062278596</v>
      </c>
      <c r="Z34" s="2">
        <f t="shared" si="34"/>
        <v>160862.15062278596</v>
      </c>
      <c r="AA34" s="2">
        <f t="shared" si="34"/>
        <v>160862.15062278596</v>
      </c>
      <c r="AB34" s="2">
        <f t="shared" si="34"/>
        <v>160862.15062278596</v>
      </c>
      <c r="AC34" s="2">
        <f t="shared" si="34"/>
        <v>160862.15062278596</v>
      </c>
      <c r="AD34" s="2">
        <f t="shared" si="34"/>
        <v>160862.15062278596</v>
      </c>
      <c r="AE34" s="2">
        <f t="shared" si="34"/>
        <v>160862.15062278596</v>
      </c>
      <c r="AF34" s="2">
        <f t="shared" si="34"/>
        <v>160862.15062278596</v>
      </c>
      <c r="AG34" s="2">
        <f t="shared" si="34"/>
        <v>160862.15062278596</v>
      </c>
      <c r="AH34" s="2">
        <f t="shared" si="34"/>
        <v>160862.15062278596</v>
      </c>
      <c r="AI34" s="2">
        <f t="shared" si="34"/>
        <v>160862.15062278596</v>
      </c>
      <c r="AJ34" s="2">
        <f t="shared" si="34"/>
        <v>160862.15062278596</v>
      </c>
      <c r="AK34" s="2">
        <f t="shared" si="34"/>
        <v>160862.15062278596</v>
      </c>
      <c r="AL34" s="2">
        <f t="shared" si="34"/>
        <v>160862.15062278596</v>
      </c>
      <c r="AM34" s="2">
        <f t="shared" si="34"/>
        <v>160862.15062278596</v>
      </c>
      <c r="AN34" s="2">
        <f t="shared" si="34"/>
        <v>160862.15062278596</v>
      </c>
      <c r="AO34" s="2">
        <f t="shared" si="34"/>
        <v>160862.15062278596</v>
      </c>
      <c r="AP34" s="2">
        <f t="shared" si="34"/>
        <v>160862.15062278596</v>
      </c>
      <c r="AQ34" s="2">
        <f t="shared" si="34"/>
        <v>160862.15062278596</v>
      </c>
      <c r="AR34" s="2">
        <f t="shared" si="34"/>
        <v>160862.15062278596</v>
      </c>
      <c r="AS34" s="2">
        <f t="shared" si="34"/>
        <v>160862.15062278596</v>
      </c>
      <c r="AT34" s="2">
        <f t="shared" si="34"/>
        <v>160862.15062278596</v>
      </c>
      <c r="AU34" s="2">
        <f t="shared" si="34"/>
        <v>160862.15062278596</v>
      </c>
    </row>
    <row r="35" spans="1:47">
      <c r="A35" s="119"/>
      <c r="B35" s="119"/>
      <c r="C35" s="7" t="str">
        <f>C139&amp;"MTOW"</f>
        <v>(Regional Jets급)MTOW</v>
      </c>
      <c r="D35" s="86" t="s">
        <v>9</v>
      </c>
      <c r="E35" s="86"/>
      <c r="F35" s="79" t="str">
        <f>C139&amp;"대당최대이륙중량"</f>
        <v>(Regional Jets급)대당최대이륙중량</v>
      </c>
      <c r="G35" s="79">
        <f>IFERROR(SUMIF($H$158:$Q$158,"O",H35:Q35)/COUNTIFS($H$158:$Q$158,"O",H35:Q35,"&lt;&gt;0"),0)</f>
        <v>110000</v>
      </c>
      <c r="H35" s="2">
        <f>VLOOKUP($F35,raw_data!$1:$1048576,MATCH(H$1,raw_data!$1:$1,0),FALSE)</f>
        <v>0</v>
      </c>
      <c r="I35" s="2">
        <f>VLOOKUP($F35,raw_data!$1:$1048576,MATCH(I$1,raw_data!$1:$1,0),FALSE)</f>
        <v>0</v>
      </c>
      <c r="J35" s="2">
        <f>VLOOKUP($F35,raw_data!$1:$1048576,MATCH(J$1,raw_data!$1:$1,0),FALSE)</f>
        <v>0</v>
      </c>
      <c r="K35" s="2">
        <f>VLOOKUP($F35,raw_data!$1:$1048576,MATCH(K$1,raw_data!$1:$1,0),FALSE)</f>
        <v>0</v>
      </c>
      <c r="L35" s="2">
        <f>VLOOKUP($F35,raw_data!$1:$1048576,MATCH(L$1,raw_data!$1:$1,0),FALSE)</f>
        <v>0</v>
      </c>
      <c r="M35" s="2">
        <f>VLOOKUP($F35,raw_data!$1:$1048576,MATCH(M$1,raw_data!$1:$1,0),FALSE)</f>
        <v>0</v>
      </c>
      <c r="N35" s="2">
        <f>VLOOKUP($F35,raw_data!$1:$1048576,MATCH(N$1,raw_data!$1:$1,0),FALSE)</f>
        <v>0</v>
      </c>
      <c r="O35" s="2">
        <f>VLOOKUP($F35,raw_data!$1:$1048576,MATCH(O$1,raw_data!$1:$1,0),FALSE)</f>
        <v>0</v>
      </c>
      <c r="P35" s="2">
        <f>VLOOKUP($F35,raw_data!$1:$1048576,MATCH(P$1,raw_data!$1:$1,0),FALSE)</f>
        <v>110000</v>
      </c>
      <c r="Q35" s="2">
        <f>VLOOKUP($F35,raw_data!$1:$1048576,MATCH(Q$1,raw_data!$1:$1,0),FALSE)</f>
        <v>110000</v>
      </c>
      <c r="R35" s="2">
        <f t="shared" si="32"/>
        <v>110000</v>
      </c>
      <c r="S35" s="2">
        <f t="shared" ref="S35:AU35" si="35">R35</f>
        <v>110000</v>
      </c>
      <c r="T35" s="2">
        <f t="shared" si="35"/>
        <v>110000</v>
      </c>
      <c r="U35" s="2">
        <f t="shared" si="35"/>
        <v>110000</v>
      </c>
      <c r="V35" s="2">
        <f t="shared" si="35"/>
        <v>110000</v>
      </c>
      <c r="W35" s="2">
        <f t="shared" si="35"/>
        <v>110000</v>
      </c>
      <c r="X35" s="2">
        <f t="shared" si="35"/>
        <v>110000</v>
      </c>
      <c r="Y35" s="2">
        <f t="shared" si="35"/>
        <v>110000</v>
      </c>
      <c r="Z35" s="2">
        <f t="shared" si="35"/>
        <v>110000</v>
      </c>
      <c r="AA35" s="2">
        <f t="shared" si="35"/>
        <v>110000</v>
      </c>
      <c r="AB35" s="2">
        <f t="shared" si="35"/>
        <v>110000</v>
      </c>
      <c r="AC35" s="2">
        <f t="shared" si="35"/>
        <v>110000</v>
      </c>
      <c r="AD35" s="2">
        <f t="shared" si="35"/>
        <v>110000</v>
      </c>
      <c r="AE35" s="2">
        <f t="shared" si="35"/>
        <v>110000</v>
      </c>
      <c r="AF35" s="2">
        <f t="shared" si="35"/>
        <v>110000</v>
      </c>
      <c r="AG35" s="2">
        <f t="shared" si="35"/>
        <v>110000</v>
      </c>
      <c r="AH35" s="2">
        <f t="shared" si="35"/>
        <v>110000</v>
      </c>
      <c r="AI35" s="2">
        <f t="shared" si="35"/>
        <v>110000</v>
      </c>
      <c r="AJ35" s="2">
        <f t="shared" si="35"/>
        <v>110000</v>
      </c>
      <c r="AK35" s="2">
        <f t="shared" si="35"/>
        <v>110000</v>
      </c>
      <c r="AL35" s="2">
        <f t="shared" si="35"/>
        <v>110000</v>
      </c>
      <c r="AM35" s="2">
        <f t="shared" si="35"/>
        <v>110000</v>
      </c>
      <c r="AN35" s="2">
        <f t="shared" si="35"/>
        <v>110000</v>
      </c>
      <c r="AO35" s="2">
        <f t="shared" si="35"/>
        <v>110000</v>
      </c>
      <c r="AP35" s="2">
        <f t="shared" si="35"/>
        <v>110000</v>
      </c>
      <c r="AQ35" s="2">
        <f t="shared" si="35"/>
        <v>110000</v>
      </c>
      <c r="AR35" s="2">
        <f t="shared" si="35"/>
        <v>110000</v>
      </c>
      <c r="AS35" s="2">
        <f t="shared" si="35"/>
        <v>110000</v>
      </c>
      <c r="AT35" s="2">
        <f t="shared" si="35"/>
        <v>110000</v>
      </c>
      <c r="AU35" s="2">
        <f t="shared" si="35"/>
        <v>110000</v>
      </c>
    </row>
    <row r="36" spans="1:47">
      <c r="A36" s="119"/>
      <c r="B36" s="120"/>
      <c r="C36" s="37" t="str">
        <f>C140&amp;"MTOW"</f>
        <v>(Business Jets급)MTOW</v>
      </c>
      <c r="D36" s="87" t="s">
        <v>9</v>
      </c>
      <c r="E36" s="87"/>
      <c r="F36" s="81" t="str">
        <f>C140&amp;"대당최대이륙중량"</f>
        <v>(Business Jets급)대당최대이륙중량</v>
      </c>
      <c r="G36" s="81">
        <f>IFERROR(SUMIF($H$158:$Q$158,"O",H36:Q36)/COUNTIFS($H$158:$Q$158,"O",H36:Q36,"&lt;&gt;0"),0)</f>
        <v>0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>
        <f t="shared" si="32"/>
        <v>0</v>
      </c>
      <c r="S36" s="14">
        <f t="shared" ref="S36:AU36" si="36">R36</f>
        <v>0</v>
      </c>
      <c r="T36" s="14">
        <f t="shared" si="36"/>
        <v>0</v>
      </c>
      <c r="U36" s="14">
        <f t="shared" si="36"/>
        <v>0</v>
      </c>
      <c r="V36" s="14">
        <f t="shared" si="36"/>
        <v>0</v>
      </c>
      <c r="W36" s="14">
        <f t="shared" si="36"/>
        <v>0</v>
      </c>
      <c r="X36" s="14">
        <f t="shared" si="36"/>
        <v>0</v>
      </c>
      <c r="Y36" s="14">
        <f t="shared" si="36"/>
        <v>0</v>
      </c>
      <c r="Z36" s="14">
        <f t="shared" si="36"/>
        <v>0</v>
      </c>
      <c r="AA36" s="14">
        <f t="shared" si="36"/>
        <v>0</v>
      </c>
      <c r="AB36" s="14">
        <f t="shared" si="36"/>
        <v>0</v>
      </c>
      <c r="AC36" s="14">
        <f t="shared" si="36"/>
        <v>0</v>
      </c>
      <c r="AD36" s="14">
        <f t="shared" si="36"/>
        <v>0</v>
      </c>
      <c r="AE36" s="14">
        <f t="shared" si="36"/>
        <v>0</v>
      </c>
      <c r="AF36" s="14">
        <f t="shared" si="36"/>
        <v>0</v>
      </c>
      <c r="AG36" s="14">
        <f t="shared" si="36"/>
        <v>0</v>
      </c>
      <c r="AH36" s="14">
        <f t="shared" si="36"/>
        <v>0</v>
      </c>
      <c r="AI36" s="14">
        <f t="shared" si="36"/>
        <v>0</v>
      </c>
      <c r="AJ36" s="14">
        <f t="shared" si="36"/>
        <v>0</v>
      </c>
      <c r="AK36" s="14">
        <f t="shared" si="36"/>
        <v>0</v>
      </c>
      <c r="AL36" s="14">
        <f t="shared" si="36"/>
        <v>0</v>
      </c>
      <c r="AM36" s="14">
        <f t="shared" si="36"/>
        <v>0</v>
      </c>
      <c r="AN36" s="14">
        <f t="shared" si="36"/>
        <v>0</v>
      </c>
      <c r="AO36" s="14">
        <f t="shared" si="36"/>
        <v>0</v>
      </c>
      <c r="AP36" s="14">
        <f t="shared" si="36"/>
        <v>0</v>
      </c>
      <c r="AQ36" s="14">
        <f t="shared" si="36"/>
        <v>0</v>
      </c>
      <c r="AR36" s="14">
        <f t="shared" si="36"/>
        <v>0</v>
      </c>
      <c r="AS36" s="14">
        <f t="shared" si="36"/>
        <v>0</v>
      </c>
      <c r="AT36" s="14">
        <f t="shared" si="36"/>
        <v>0</v>
      </c>
      <c r="AU36" s="14">
        <f t="shared" si="36"/>
        <v>0</v>
      </c>
    </row>
    <row r="37" spans="1:47">
      <c r="A37" s="119"/>
      <c r="B37" s="125" t="s">
        <v>66</v>
      </c>
      <c r="C37" s="7" t="str">
        <f>C137&amp;"Seats"</f>
        <v>(Widebody Jets급)Seats</v>
      </c>
      <c r="D37" s="86" t="s">
        <v>9</v>
      </c>
      <c r="E37" s="86"/>
      <c r="F37" s="79" t="str">
        <f>C137&amp;"대당좌석수"</f>
        <v>(Widebody Jets급)대당좌석수</v>
      </c>
      <c r="G37" s="79">
        <f>IFERROR(SUMIF($H$149:$Q$149,"O",H37:Q37)/COUNTIFS($H$149:$Q$149,"O",H37:Q37,"&lt;&gt;0"),0)</f>
        <v>257.59263717382271</v>
      </c>
      <c r="H37" s="2">
        <f>VLOOKUP($F37,raw_data!$1:$1048576,MATCH(H$1,raw_data!$1:$1,0),FALSE)</f>
        <v>237.3863636363636</v>
      </c>
      <c r="I37" s="2">
        <f>VLOOKUP($F37,raw_data!$1:$1048576,MATCH(I$1,raw_data!$1:$1,0),FALSE)</f>
        <v>248.8623853211009</v>
      </c>
      <c r="J37" s="2">
        <f>VLOOKUP($F37,raw_data!$1:$1048576,MATCH(J$1,raw_data!$1:$1,0),FALSE)</f>
        <v>249.46341463414629</v>
      </c>
      <c r="K37" s="2">
        <f>VLOOKUP($F37,raw_data!$1:$1048576,MATCH(K$1,raw_data!$1:$1,0),FALSE)</f>
        <v>253.63917525773189</v>
      </c>
      <c r="L37" s="2">
        <f>VLOOKUP($F37,raw_data!$1:$1048576,MATCH(L$1,raw_data!$1:$1,0),FALSE)</f>
        <v>251.45604395604391</v>
      </c>
      <c r="M37" s="2">
        <f>VLOOKUP($F37,raw_data!$1:$1048576,MATCH(M$1,raw_data!$1:$1,0),FALSE)</f>
        <v>248.07692307692309</v>
      </c>
      <c r="N37" s="2">
        <f>VLOOKUP($F37,raw_data!$1:$1048576,MATCH(N$1,raw_data!$1:$1,0),FALSE)</f>
        <v>261.40350877192981</v>
      </c>
      <c r="O37" s="2">
        <f>VLOOKUP($F37,raw_data!$1:$1048576,MATCH(O$1,raw_data!$1:$1,0),FALSE)</f>
        <v>258.05714285714288</v>
      </c>
      <c r="P37" s="2">
        <f>VLOOKUP($F37,raw_data!$1:$1048576,MATCH(P$1,raw_data!$1:$1,0),FALSE)</f>
        <v>251.58620689655169</v>
      </c>
      <c r="Q37" s="2">
        <f>VLOOKUP($F37,raw_data!$1:$1048576,MATCH(Q$1,raw_data!$1:$1,0),FALSE)</f>
        <v>267.68269230769232</v>
      </c>
      <c r="R37" s="59">
        <f t="shared" si="32"/>
        <v>257.59263717382271</v>
      </c>
      <c r="S37" s="59">
        <f t="shared" ref="S37:AU37" si="37">R37</f>
        <v>257.59263717382271</v>
      </c>
      <c r="T37" s="59">
        <f t="shared" si="37"/>
        <v>257.59263717382271</v>
      </c>
      <c r="U37" s="59">
        <f t="shared" si="37"/>
        <v>257.59263717382271</v>
      </c>
      <c r="V37" s="59">
        <f t="shared" si="37"/>
        <v>257.59263717382271</v>
      </c>
      <c r="W37" s="59">
        <f t="shared" si="37"/>
        <v>257.59263717382271</v>
      </c>
      <c r="X37" s="59">
        <f t="shared" si="37"/>
        <v>257.59263717382271</v>
      </c>
      <c r="Y37" s="59">
        <f t="shared" si="37"/>
        <v>257.59263717382271</v>
      </c>
      <c r="Z37" s="59">
        <f t="shared" si="37"/>
        <v>257.59263717382271</v>
      </c>
      <c r="AA37" s="59">
        <f t="shared" si="37"/>
        <v>257.59263717382271</v>
      </c>
      <c r="AB37" s="59">
        <f t="shared" si="37"/>
        <v>257.59263717382271</v>
      </c>
      <c r="AC37" s="59">
        <f t="shared" si="37"/>
        <v>257.59263717382271</v>
      </c>
      <c r="AD37" s="59">
        <f t="shared" si="37"/>
        <v>257.59263717382271</v>
      </c>
      <c r="AE37" s="59">
        <f t="shared" si="37"/>
        <v>257.59263717382271</v>
      </c>
      <c r="AF37" s="59">
        <f t="shared" si="37"/>
        <v>257.59263717382271</v>
      </c>
      <c r="AG37" s="59">
        <f t="shared" si="37"/>
        <v>257.59263717382271</v>
      </c>
      <c r="AH37" s="59">
        <f t="shared" si="37"/>
        <v>257.59263717382271</v>
      </c>
      <c r="AI37" s="59">
        <f t="shared" si="37"/>
        <v>257.59263717382271</v>
      </c>
      <c r="AJ37" s="59">
        <f t="shared" si="37"/>
        <v>257.59263717382271</v>
      </c>
      <c r="AK37" s="59">
        <f t="shared" si="37"/>
        <v>257.59263717382271</v>
      </c>
      <c r="AL37" s="59">
        <f t="shared" si="37"/>
        <v>257.59263717382271</v>
      </c>
      <c r="AM37" s="59">
        <f t="shared" si="37"/>
        <v>257.59263717382271</v>
      </c>
      <c r="AN37" s="59">
        <f t="shared" si="37"/>
        <v>257.59263717382271</v>
      </c>
      <c r="AO37" s="59">
        <f t="shared" si="37"/>
        <v>257.59263717382271</v>
      </c>
      <c r="AP37" s="59">
        <f t="shared" si="37"/>
        <v>257.59263717382271</v>
      </c>
      <c r="AQ37" s="59">
        <f t="shared" si="37"/>
        <v>257.59263717382271</v>
      </c>
      <c r="AR37" s="59">
        <f t="shared" si="37"/>
        <v>257.59263717382271</v>
      </c>
      <c r="AS37" s="59">
        <f t="shared" si="37"/>
        <v>257.59263717382271</v>
      </c>
      <c r="AT37" s="59">
        <f t="shared" si="37"/>
        <v>257.59263717382271</v>
      </c>
      <c r="AU37" s="59">
        <f t="shared" si="37"/>
        <v>257.59263717382271</v>
      </c>
    </row>
    <row r="38" spans="1:47">
      <c r="A38" s="119"/>
      <c r="B38" s="119"/>
      <c r="C38" s="7" t="str">
        <f>C138&amp;"Seats"</f>
        <v>(Narrowbody Jets급)Seats</v>
      </c>
      <c r="D38" s="86" t="s">
        <v>9</v>
      </c>
      <c r="E38" s="86"/>
      <c r="F38" s="79" t="str">
        <f>C138&amp;"대당좌석수"</f>
        <v>(Narrowbody Jets급)대당좌석수</v>
      </c>
      <c r="G38" s="79">
        <f>IFERROR(SUMIF($H$149:$Q$149,"O",H38:Q38)/COUNTIFS($H$149:$Q$149,"O",H38:Q38,"&lt;&gt;0"),0)</f>
        <v>158.5755805881054</v>
      </c>
      <c r="H38" s="2">
        <f>VLOOKUP($F38,raw_data!$1:$1048576,MATCH(H$1,raw_data!$1:$1,0),FALSE)</f>
        <v>129.81798638480831</v>
      </c>
      <c r="I38" s="2">
        <f>VLOOKUP($F38,raw_data!$1:$1048576,MATCH(I$1,raw_data!$1:$1,0),FALSE)</f>
        <v>125.8501126972201</v>
      </c>
      <c r="J38" s="2">
        <f>VLOOKUP($F38,raw_data!$1:$1048576,MATCH(J$1,raw_data!$1:$1,0),FALSE)</f>
        <v>121.1345108695652</v>
      </c>
      <c r="K38" s="2">
        <f>VLOOKUP($F38,raw_data!$1:$1048576,MATCH(K$1,raw_data!$1:$1,0),FALSE)</f>
        <v>158.29398663697111</v>
      </c>
      <c r="L38" s="2">
        <f>VLOOKUP($F38,raw_data!$1:$1048576,MATCH(L$1,raw_data!$1:$1,0),FALSE)</f>
        <v>161.68711052804201</v>
      </c>
      <c r="M38" s="2">
        <f>VLOOKUP($F38,raw_data!$1:$1048576,MATCH(M$1,raw_data!$1:$1,0),FALSE)</f>
        <v>163.43229166666671</v>
      </c>
      <c r="N38" s="2">
        <f>VLOOKUP($F38,raw_data!$1:$1048576,MATCH(N$1,raw_data!$1:$1,0),FALSE)</f>
        <v>164.0351094589013</v>
      </c>
      <c r="O38" s="2">
        <f>VLOOKUP($F38,raw_data!$1:$1048576,MATCH(O$1,raw_data!$1:$1,0),FALSE)</f>
        <v>150.2607588489941</v>
      </c>
      <c r="P38" s="2">
        <f>VLOOKUP($F38,raw_data!$1:$1048576,MATCH(P$1,raw_data!$1:$1,0),FALSE)</f>
        <v>160.212020033389</v>
      </c>
      <c r="Q38" s="2">
        <f>VLOOKUP($F38,raw_data!$1:$1048576,MATCH(Q$1,raw_data!$1:$1,0),FALSE)</f>
        <v>155.74564459930309</v>
      </c>
      <c r="R38" s="59">
        <f t="shared" si="32"/>
        <v>158.5755805881054</v>
      </c>
      <c r="S38" s="59">
        <f t="shared" ref="S38:AU38" si="38">R38</f>
        <v>158.5755805881054</v>
      </c>
      <c r="T38" s="59">
        <f t="shared" si="38"/>
        <v>158.5755805881054</v>
      </c>
      <c r="U38" s="59">
        <f t="shared" si="38"/>
        <v>158.5755805881054</v>
      </c>
      <c r="V38" s="59">
        <f t="shared" si="38"/>
        <v>158.5755805881054</v>
      </c>
      <c r="W38" s="59">
        <f t="shared" si="38"/>
        <v>158.5755805881054</v>
      </c>
      <c r="X38" s="59">
        <f t="shared" si="38"/>
        <v>158.5755805881054</v>
      </c>
      <c r="Y38" s="59">
        <f t="shared" si="38"/>
        <v>158.5755805881054</v>
      </c>
      <c r="Z38" s="59">
        <f t="shared" si="38"/>
        <v>158.5755805881054</v>
      </c>
      <c r="AA38" s="59">
        <f t="shared" si="38"/>
        <v>158.5755805881054</v>
      </c>
      <c r="AB38" s="59">
        <f t="shared" si="38"/>
        <v>158.5755805881054</v>
      </c>
      <c r="AC38" s="59">
        <f t="shared" si="38"/>
        <v>158.5755805881054</v>
      </c>
      <c r="AD38" s="59">
        <f t="shared" si="38"/>
        <v>158.5755805881054</v>
      </c>
      <c r="AE38" s="59">
        <f t="shared" si="38"/>
        <v>158.5755805881054</v>
      </c>
      <c r="AF38" s="59">
        <f t="shared" si="38"/>
        <v>158.5755805881054</v>
      </c>
      <c r="AG38" s="59">
        <f t="shared" si="38"/>
        <v>158.5755805881054</v>
      </c>
      <c r="AH38" s="59">
        <f t="shared" si="38"/>
        <v>158.5755805881054</v>
      </c>
      <c r="AI38" s="59">
        <f t="shared" si="38"/>
        <v>158.5755805881054</v>
      </c>
      <c r="AJ38" s="59">
        <f t="shared" si="38"/>
        <v>158.5755805881054</v>
      </c>
      <c r="AK38" s="59">
        <f t="shared" si="38"/>
        <v>158.5755805881054</v>
      </c>
      <c r="AL38" s="59">
        <f t="shared" si="38"/>
        <v>158.5755805881054</v>
      </c>
      <c r="AM38" s="59">
        <f t="shared" si="38"/>
        <v>158.5755805881054</v>
      </c>
      <c r="AN38" s="59">
        <f t="shared" si="38"/>
        <v>158.5755805881054</v>
      </c>
      <c r="AO38" s="59">
        <f t="shared" si="38"/>
        <v>158.5755805881054</v>
      </c>
      <c r="AP38" s="59">
        <f t="shared" si="38"/>
        <v>158.5755805881054</v>
      </c>
      <c r="AQ38" s="59">
        <f t="shared" si="38"/>
        <v>158.5755805881054</v>
      </c>
      <c r="AR38" s="59">
        <f t="shared" si="38"/>
        <v>158.5755805881054</v>
      </c>
      <c r="AS38" s="59">
        <f t="shared" si="38"/>
        <v>158.5755805881054</v>
      </c>
      <c r="AT38" s="59">
        <f t="shared" si="38"/>
        <v>158.5755805881054</v>
      </c>
      <c r="AU38" s="59">
        <f t="shared" si="38"/>
        <v>158.5755805881054</v>
      </c>
    </row>
    <row r="39" spans="1:47">
      <c r="A39" s="119"/>
      <c r="B39" s="119"/>
      <c r="C39" s="7" t="str">
        <f>C139&amp;"Seats"</f>
        <v>(Regional Jets급)Seats</v>
      </c>
      <c r="D39" s="86" t="s">
        <v>9</v>
      </c>
      <c r="E39" s="86"/>
      <c r="F39" s="79" t="str">
        <f>C139&amp;"대당좌석수"</f>
        <v>(Regional Jets급)대당좌석수</v>
      </c>
      <c r="G39" s="79">
        <f>IFERROR(SUMIF($H$149:$Q$149,"O",H39:Q39)/COUNTIFS($H$149:$Q$149,"O",H39:Q39,"&lt;&gt;0"),0)</f>
        <v>106</v>
      </c>
      <c r="H39" s="2">
        <f>VLOOKUP($F39,raw_data!$1:$1048576,MATCH(H$1,raw_data!$1:$1,0),FALSE)</f>
        <v>0</v>
      </c>
      <c r="I39" s="2">
        <f>VLOOKUP($F39,raw_data!$1:$1048576,MATCH(I$1,raw_data!$1:$1,0),FALSE)</f>
        <v>0</v>
      </c>
      <c r="J39" s="2">
        <f>VLOOKUP($F39,raw_data!$1:$1048576,MATCH(J$1,raw_data!$1:$1,0),FALSE)</f>
        <v>0</v>
      </c>
      <c r="K39" s="2">
        <f>VLOOKUP($F39,raw_data!$1:$1048576,MATCH(K$1,raw_data!$1:$1,0),FALSE)</f>
        <v>0</v>
      </c>
      <c r="L39" s="2">
        <f>VLOOKUP($F39,raw_data!$1:$1048576,MATCH(L$1,raw_data!$1:$1,0),FALSE)</f>
        <v>0</v>
      </c>
      <c r="M39" s="2">
        <f>VLOOKUP($F39,raw_data!$1:$1048576,MATCH(M$1,raw_data!$1:$1,0),FALSE)</f>
        <v>0</v>
      </c>
      <c r="N39" s="2">
        <f>VLOOKUP($F39,raw_data!$1:$1048576,MATCH(N$1,raw_data!$1:$1,0),FALSE)</f>
        <v>0</v>
      </c>
      <c r="O39" s="2">
        <f>VLOOKUP($F39,raw_data!$1:$1048576,MATCH(O$1,raw_data!$1:$1,0),FALSE)</f>
        <v>0</v>
      </c>
      <c r="P39" s="2">
        <f>VLOOKUP($F39,raw_data!$1:$1048576,MATCH(P$1,raw_data!$1:$1,0),FALSE)</f>
        <v>106</v>
      </c>
      <c r="Q39" s="2">
        <f>VLOOKUP($F39,raw_data!$1:$1048576,MATCH(Q$1,raw_data!$1:$1,0),FALSE)</f>
        <v>106</v>
      </c>
      <c r="R39" s="59">
        <f t="shared" si="32"/>
        <v>106</v>
      </c>
      <c r="S39" s="59">
        <f t="shared" ref="S39:AU39" si="39">R39</f>
        <v>106</v>
      </c>
      <c r="T39" s="59">
        <f t="shared" si="39"/>
        <v>106</v>
      </c>
      <c r="U39" s="59">
        <f t="shared" si="39"/>
        <v>106</v>
      </c>
      <c r="V39" s="59">
        <f t="shared" si="39"/>
        <v>106</v>
      </c>
      <c r="W39" s="59">
        <f t="shared" si="39"/>
        <v>106</v>
      </c>
      <c r="X39" s="59">
        <f t="shared" si="39"/>
        <v>106</v>
      </c>
      <c r="Y39" s="59">
        <f t="shared" si="39"/>
        <v>106</v>
      </c>
      <c r="Z39" s="59">
        <f t="shared" si="39"/>
        <v>106</v>
      </c>
      <c r="AA39" s="59">
        <f t="shared" si="39"/>
        <v>106</v>
      </c>
      <c r="AB39" s="59">
        <f t="shared" si="39"/>
        <v>106</v>
      </c>
      <c r="AC39" s="59">
        <f t="shared" si="39"/>
        <v>106</v>
      </c>
      <c r="AD39" s="59">
        <f t="shared" si="39"/>
        <v>106</v>
      </c>
      <c r="AE39" s="59">
        <f t="shared" si="39"/>
        <v>106</v>
      </c>
      <c r="AF39" s="59">
        <f t="shared" si="39"/>
        <v>106</v>
      </c>
      <c r="AG39" s="59">
        <f t="shared" si="39"/>
        <v>106</v>
      </c>
      <c r="AH39" s="59">
        <f t="shared" si="39"/>
        <v>106</v>
      </c>
      <c r="AI39" s="59">
        <f t="shared" si="39"/>
        <v>106</v>
      </c>
      <c r="AJ39" s="59">
        <f t="shared" si="39"/>
        <v>106</v>
      </c>
      <c r="AK39" s="59">
        <f t="shared" si="39"/>
        <v>106</v>
      </c>
      <c r="AL39" s="59">
        <f t="shared" si="39"/>
        <v>106</v>
      </c>
      <c r="AM39" s="59">
        <f t="shared" si="39"/>
        <v>106</v>
      </c>
      <c r="AN39" s="59">
        <f t="shared" si="39"/>
        <v>106</v>
      </c>
      <c r="AO39" s="59">
        <f t="shared" si="39"/>
        <v>106</v>
      </c>
      <c r="AP39" s="59">
        <f t="shared" si="39"/>
        <v>106</v>
      </c>
      <c r="AQ39" s="59">
        <f t="shared" si="39"/>
        <v>106</v>
      </c>
      <c r="AR39" s="59">
        <f t="shared" si="39"/>
        <v>106</v>
      </c>
      <c r="AS39" s="59">
        <f t="shared" si="39"/>
        <v>106</v>
      </c>
      <c r="AT39" s="59">
        <f t="shared" si="39"/>
        <v>106</v>
      </c>
      <c r="AU39" s="59">
        <f t="shared" si="39"/>
        <v>106</v>
      </c>
    </row>
    <row r="40" spans="1:47" s="19" customFormat="1">
      <c r="A40" s="131"/>
      <c r="B40" s="120"/>
      <c r="C40" s="37" t="str">
        <f>C140&amp;"Seats"</f>
        <v>(Business Jets급)Seats</v>
      </c>
      <c r="D40" s="87" t="s">
        <v>9</v>
      </c>
      <c r="E40" s="87"/>
      <c r="F40" s="81" t="str">
        <f>C140&amp;"대당좌석수"</f>
        <v>(Business Jets급)대당좌석수</v>
      </c>
      <c r="G40" s="81">
        <f>IFERROR(SUMIF($H$149:$Q$149,"O",H40:Q40)/COUNTIFS($H$149:$Q$149,"O",H40:Q40,"&lt;&gt;0"),0)</f>
        <v>0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60">
        <f t="shared" si="32"/>
        <v>0</v>
      </c>
      <c r="S40" s="60">
        <f t="shared" ref="S40:AU40" si="40">R40</f>
        <v>0</v>
      </c>
      <c r="T40" s="60">
        <f t="shared" si="40"/>
        <v>0</v>
      </c>
      <c r="U40" s="60">
        <f t="shared" si="40"/>
        <v>0</v>
      </c>
      <c r="V40" s="60">
        <f t="shared" si="40"/>
        <v>0</v>
      </c>
      <c r="W40" s="60">
        <f t="shared" si="40"/>
        <v>0</v>
      </c>
      <c r="X40" s="60">
        <f t="shared" si="40"/>
        <v>0</v>
      </c>
      <c r="Y40" s="60">
        <f t="shared" si="40"/>
        <v>0</v>
      </c>
      <c r="Z40" s="60">
        <f t="shared" si="40"/>
        <v>0</v>
      </c>
      <c r="AA40" s="60">
        <f t="shared" si="40"/>
        <v>0</v>
      </c>
      <c r="AB40" s="60">
        <f t="shared" si="40"/>
        <v>0</v>
      </c>
      <c r="AC40" s="60">
        <f t="shared" si="40"/>
        <v>0</v>
      </c>
      <c r="AD40" s="60">
        <f t="shared" si="40"/>
        <v>0</v>
      </c>
      <c r="AE40" s="60">
        <f t="shared" si="40"/>
        <v>0</v>
      </c>
      <c r="AF40" s="60">
        <f t="shared" si="40"/>
        <v>0</v>
      </c>
      <c r="AG40" s="60">
        <f t="shared" si="40"/>
        <v>0</v>
      </c>
      <c r="AH40" s="60">
        <f t="shared" si="40"/>
        <v>0</v>
      </c>
      <c r="AI40" s="60">
        <f t="shared" si="40"/>
        <v>0</v>
      </c>
      <c r="AJ40" s="60">
        <f t="shared" si="40"/>
        <v>0</v>
      </c>
      <c r="AK40" s="60">
        <f t="shared" si="40"/>
        <v>0</v>
      </c>
      <c r="AL40" s="60">
        <f t="shared" si="40"/>
        <v>0</v>
      </c>
      <c r="AM40" s="60">
        <f t="shared" si="40"/>
        <v>0</v>
      </c>
      <c r="AN40" s="60">
        <f t="shared" si="40"/>
        <v>0</v>
      </c>
      <c r="AO40" s="60">
        <f t="shared" si="40"/>
        <v>0</v>
      </c>
      <c r="AP40" s="60">
        <f t="shared" si="40"/>
        <v>0</v>
      </c>
      <c r="AQ40" s="60">
        <f t="shared" si="40"/>
        <v>0</v>
      </c>
      <c r="AR40" s="60">
        <f t="shared" si="40"/>
        <v>0</v>
      </c>
      <c r="AS40" s="60">
        <f t="shared" si="40"/>
        <v>0</v>
      </c>
      <c r="AT40" s="60">
        <f t="shared" si="40"/>
        <v>0</v>
      </c>
      <c r="AU40" s="60">
        <f t="shared" si="40"/>
        <v>0</v>
      </c>
    </row>
    <row r="41" spans="1:47">
      <c r="A41" s="119"/>
      <c r="B41" s="126" t="s">
        <v>67</v>
      </c>
      <c r="C41" s="36" t="s">
        <v>68</v>
      </c>
      <c r="D41" s="78" t="s">
        <v>63</v>
      </c>
      <c r="E41" s="78"/>
      <c r="F41" s="85"/>
      <c r="G41" s="85"/>
      <c r="H41" s="2"/>
      <c r="I41" s="2"/>
      <c r="J41" s="2"/>
      <c r="K41" s="2"/>
      <c r="L41" s="2"/>
      <c r="M41" s="2"/>
      <c r="N41" s="2"/>
      <c r="O41" s="2"/>
      <c r="P41" s="2"/>
      <c r="Q41" s="2"/>
      <c r="R41" s="28">
        <f t="shared" ref="R41:AU41" si="41">R2/SUMPRODUCT(R29:R32,R37:R40,$G42:$G45)</f>
        <v>0.99958214066804207</v>
      </c>
      <c r="S41" s="28">
        <f t="shared" si="41"/>
        <v>0.99958214066804207</v>
      </c>
      <c r="T41" s="28">
        <f t="shared" si="41"/>
        <v>0.99958214066804185</v>
      </c>
      <c r="U41" s="28">
        <f t="shared" si="41"/>
        <v>0.99958214066804185</v>
      </c>
      <c r="V41" s="28">
        <f t="shared" si="41"/>
        <v>0.99958214066804196</v>
      </c>
      <c r="W41" s="28">
        <f t="shared" si="41"/>
        <v>0.99958214066804174</v>
      </c>
      <c r="X41" s="28">
        <f t="shared" si="41"/>
        <v>0.99958214066804219</v>
      </c>
      <c r="Y41" s="28">
        <f t="shared" si="41"/>
        <v>0.99958214066804185</v>
      </c>
      <c r="Z41" s="28">
        <f t="shared" si="41"/>
        <v>0.99958214066804196</v>
      </c>
      <c r="AA41" s="28">
        <f t="shared" si="41"/>
        <v>0.99958214066804185</v>
      </c>
      <c r="AB41" s="28">
        <f t="shared" si="41"/>
        <v>0.99958214066804163</v>
      </c>
      <c r="AC41" s="28">
        <f t="shared" si="41"/>
        <v>0.99958214066804174</v>
      </c>
      <c r="AD41" s="28">
        <f t="shared" si="41"/>
        <v>0.99958214066804207</v>
      </c>
      <c r="AE41" s="28">
        <f t="shared" si="41"/>
        <v>0.99958214066804196</v>
      </c>
      <c r="AF41" s="28">
        <f t="shared" si="41"/>
        <v>0.99958214066804163</v>
      </c>
      <c r="AG41" s="28">
        <f t="shared" si="41"/>
        <v>0.99958214066804219</v>
      </c>
      <c r="AH41" s="28">
        <f t="shared" si="41"/>
        <v>0.99958214066804185</v>
      </c>
      <c r="AI41" s="28">
        <f t="shared" si="41"/>
        <v>0.99958214066804174</v>
      </c>
      <c r="AJ41" s="28">
        <f t="shared" si="41"/>
        <v>0.99958214066804196</v>
      </c>
      <c r="AK41" s="28">
        <f t="shared" si="41"/>
        <v>0.99958214066804196</v>
      </c>
      <c r="AL41" s="28">
        <f t="shared" si="41"/>
        <v>0.99958214066804185</v>
      </c>
      <c r="AM41" s="28">
        <f t="shared" si="41"/>
        <v>0.99958214066804185</v>
      </c>
      <c r="AN41" s="28">
        <f t="shared" si="41"/>
        <v>0.99958214066804185</v>
      </c>
      <c r="AO41" s="28">
        <f t="shared" si="41"/>
        <v>0.99958214066804207</v>
      </c>
      <c r="AP41" s="28">
        <f t="shared" si="41"/>
        <v>0.99958214066804196</v>
      </c>
      <c r="AQ41" s="28">
        <f t="shared" si="41"/>
        <v>0.99958214066804185</v>
      </c>
      <c r="AR41" s="28">
        <f t="shared" si="41"/>
        <v>0.99958214066804196</v>
      </c>
      <c r="AS41" s="28">
        <f t="shared" si="41"/>
        <v>0.99958214066804196</v>
      </c>
      <c r="AT41" s="28">
        <f t="shared" si="41"/>
        <v>0.99958214066804196</v>
      </c>
      <c r="AU41" s="28">
        <f t="shared" si="41"/>
        <v>0.99958214066804185</v>
      </c>
    </row>
    <row r="42" spans="1:47">
      <c r="A42" s="119"/>
      <c r="B42" s="119"/>
      <c r="C42" s="7" t="str">
        <f>C137&amp;"Load Factor"</f>
        <v>(Widebody Jets급)Load Factor</v>
      </c>
      <c r="D42" s="86" t="s">
        <v>63</v>
      </c>
      <c r="E42" s="86"/>
      <c r="F42" s="83" t="str">
        <f>C137&amp;"탑승율"</f>
        <v>(Widebody Jets급)탑승율</v>
      </c>
      <c r="G42" s="83">
        <f>IFERROR(SUMIF($H$150:$Q$150,"O",H42:Q42)/COUNTIFS($H$150:$Q$150,"O",H42:Q42,"&lt;&gt;0"),0)</f>
        <v>0.65511086061013335</v>
      </c>
      <c r="H42" s="1">
        <f>VLOOKUP($F42,raw_data!$1:$1048576,MATCH(H$1,raw_data!$1:$1,0),FALSE)</f>
        <v>0.80890378171373867</v>
      </c>
      <c r="I42" s="1">
        <f>VLOOKUP($F42,raw_data!$1:$1048576,MATCH(I$1,raw_data!$1:$1,0),FALSE)</f>
        <v>0.7620732876207329</v>
      </c>
      <c r="J42" s="1">
        <f>VLOOKUP($F42,raw_data!$1:$1048576,MATCH(J$1,raw_data!$1:$1,0),FALSE)</f>
        <v>0.73636096988658584</v>
      </c>
      <c r="K42" s="1">
        <f>VLOOKUP($F42,raw_data!$1:$1048576,MATCH(K$1,raw_data!$1:$1,0),FALSE)</f>
        <v>0.64626265089623214</v>
      </c>
      <c r="L42" s="1">
        <f>VLOOKUP($F42,raw_data!$1:$1048576,MATCH(L$1,raw_data!$1:$1,0),FALSE)</f>
        <v>0.64523107177974437</v>
      </c>
      <c r="M42" s="1">
        <f>VLOOKUP($F42,raw_data!$1:$1048576,MATCH(M$1,raw_data!$1:$1,0),FALSE)</f>
        <v>0.73085271317829459</v>
      </c>
      <c r="N42" s="1">
        <f>VLOOKUP($F42,raw_data!$1:$1048576,MATCH(N$1,raw_data!$1:$1,0),FALSE)</f>
        <v>0.71597315436241615</v>
      </c>
      <c r="O42" s="1">
        <f>VLOOKUP($F42,raw_data!$1:$1048576,MATCH(O$1,raw_data!$1:$1,0),FALSE)</f>
        <v>0.80148361381753763</v>
      </c>
      <c r="P42" s="1">
        <f>VLOOKUP($F42,raw_data!$1:$1048576,MATCH(P$1,raw_data!$1:$1,0),FALSE)</f>
        <v>0.75065104166666663</v>
      </c>
      <c r="Q42" s="1">
        <f>VLOOKUP($F42,raw_data!$1:$1048576,MATCH(Q$1,raw_data!$1:$1,0),FALSE)</f>
        <v>0.67383885915442365</v>
      </c>
      <c r="R42" s="12">
        <f t="shared" ref="R42:AA45" si="42">$G42*R$41</f>
        <v>0.65483711642356046</v>
      </c>
      <c r="S42" s="12">
        <f t="shared" si="42"/>
        <v>0.65483711642356046</v>
      </c>
      <c r="T42" s="12">
        <f t="shared" si="42"/>
        <v>0.65483711642356024</v>
      </c>
      <c r="U42" s="12">
        <f t="shared" si="42"/>
        <v>0.65483711642356024</v>
      </c>
      <c r="V42" s="12">
        <f t="shared" si="42"/>
        <v>0.65483711642356035</v>
      </c>
      <c r="W42" s="12">
        <f t="shared" si="42"/>
        <v>0.65483711642356024</v>
      </c>
      <c r="X42" s="12">
        <f t="shared" si="42"/>
        <v>0.65483711642356046</v>
      </c>
      <c r="Y42" s="12">
        <f t="shared" si="42"/>
        <v>0.65483711642356024</v>
      </c>
      <c r="Z42" s="12">
        <f t="shared" si="42"/>
        <v>0.65483711642356035</v>
      </c>
      <c r="AA42" s="12">
        <f t="shared" si="42"/>
        <v>0.65483711642356024</v>
      </c>
      <c r="AB42" s="12">
        <f t="shared" ref="AB42:AK45" si="43">$G42*AB$41</f>
        <v>0.65483711642356013</v>
      </c>
      <c r="AC42" s="12">
        <f t="shared" si="43"/>
        <v>0.65483711642356024</v>
      </c>
      <c r="AD42" s="12">
        <f t="shared" si="43"/>
        <v>0.65483711642356046</v>
      </c>
      <c r="AE42" s="12">
        <f t="shared" si="43"/>
        <v>0.65483711642356035</v>
      </c>
      <c r="AF42" s="12">
        <f t="shared" si="43"/>
        <v>0.65483711642356013</v>
      </c>
      <c r="AG42" s="12">
        <f t="shared" si="43"/>
        <v>0.65483711642356046</v>
      </c>
      <c r="AH42" s="12">
        <f t="shared" si="43"/>
        <v>0.65483711642356024</v>
      </c>
      <c r="AI42" s="12">
        <f t="shared" si="43"/>
        <v>0.65483711642356024</v>
      </c>
      <c r="AJ42" s="12">
        <f t="shared" si="43"/>
        <v>0.65483711642356035</v>
      </c>
      <c r="AK42" s="12">
        <f t="shared" si="43"/>
        <v>0.65483711642356035</v>
      </c>
      <c r="AL42" s="12">
        <f t="shared" ref="AL42:AU45" si="44">$G42*AL$41</f>
        <v>0.65483711642356024</v>
      </c>
      <c r="AM42" s="12">
        <f t="shared" si="44"/>
        <v>0.65483711642356024</v>
      </c>
      <c r="AN42" s="12">
        <f t="shared" si="44"/>
        <v>0.65483711642356024</v>
      </c>
      <c r="AO42" s="12">
        <f t="shared" si="44"/>
        <v>0.65483711642356046</v>
      </c>
      <c r="AP42" s="12">
        <f t="shared" si="44"/>
        <v>0.65483711642356035</v>
      </c>
      <c r="AQ42" s="12">
        <f t="shared" si="44"/>
        <v>0.65483711642356024</v>
      </c>
      <c r="AR42" s="12">
        <f t="shared" si="44"/>
        <v>0.65483711642356035</v>
      </c>
      <c r="AS42" s="12">
        <f t="shared" si="44"/>
        <v>0.65483711642356035</v>
      </c>
      <c r="AT42" s="12">
        <f t="shared" si="44"/>
        <v>0.65483711642356035</v>
      </c>
      <c r="AU42" s="12">
        <f t="shared" si="44"/>
        <v>0.65483711642356024</v>
      </c>
    </row>
    <row r="43" spans="1:47">
      <c r="A43" s="119"/>
      <c r="B43" s="119"/>
      <c r="C43" s="7" t="str">
        <f>C138&amp;"Load Factor"</f>
        <v>(Narrowbody Jets급)Load Factor</v>
      </c>
      <c r="D43" s="86" t="s">
        <v>63</v>
      </c>
      <c r="E43" s="86"/>
      <c r="F43" s="83" t="str">
        <f>C138&amp;"탑승율"</f>
        <v>(Narrowbody Jets급)탑승율</v>
      </c>
      <c r="G43" s="83">
        <f>IFERROR(SUMIF($H$150:$Q$150,"O",H43:Q43)/COUNTIFS($H$150:$Q$150,"O",H43:Q43,"&lt;&gt;0"),0)</f>
        <v>0.79424083206489904</v>
      </c>
      <c r="H43" s="1">
        <f>VLOOKUP($F43,raw_data!$1:$1048576,MATCH(H$1,raw_data!$1:$1,0),FALSE)</f>
        <v>0.85310856089334897</v>
      </c>
      <c r="I43" s="1">
        <f>VLOOKUP($F43,raw_data!$1:$1048576,MATCH(I$1,raw_data!$1:$1,0),FALSE)</f>
        <v>0.82299194359621863</v>
      </c>
      <c r="J43" s="1">
        <f>VLOOKUP($F43,raw_data!$1:$1048576,MATCH(J$1,raw_data!$1:$1,0),FALSE)</f>
        <v>0.80047669788570464</v>
      </c>
      <c r="K43" s="1">
        <f>VLOOKUP($F43,raw_data!$1:$1048576,MATCH(K$1,raw_data!$1:$1,0),FALSE)</f>
        <v>0.8089151213289435</v>
      </c>
      <c r="L43" s="1">
        <f>VLOOKUP($F43,raw_data!$1:$1048576,MATCH(L$1,raw_data!$1:$1,0),FALSE)</f>
        <v>0.80744202651607355</v>
      </c>
      <c r="M43" s="1">
        <f>VLOOKUP($F43,raw_data!$1:$1048576,MATCH(M$1,raw_data!$1:$1,0),FALSE)</f>
        <v>0.74954587462952926</v>
      </c>
      <c r="N43" s="1">
        <f>VLOOKUP($F43,raw_data!$1:$1048576,MATCH(N$1,raw_data!$1:$1,0),FALSE)</f>
        <v>0.81984191534740603</v>
      </c>
      <c r="O43" s="1">
        <f>VLOOKUP($F43,raw_data!$1:$1048576,MATCH(O$1,raw_data!$1:$1,0),FALSE)</f>
        <v>0.82793175093293381</v>
      </c>
      <c r="P43" s="1">
        <f>VLOOKUP($F43,raw_data!$1:$1048576,MATCH(P$1,raw_data!$1:$1,0),FALSE)</f>
        <v>0.819279891351541</v>
      </c>
      <c r="Q43" s="1">
        <f>VLOOKUP($F43,raw_data!$1:$1048576,MATCH(Q$1,raw_data!$1:$1,0),FALSE)</f>
        <v>0.76636534834968018</v>
      </c>
      <c r="R43" s="12">
        <f t="shared" si="42"/>
        <v>0.7939089511213987</v>
      </c>
      <c r="S43" s="12">
        <f t="shared" si="42"/>
        <v>0.7939089511213987</v>
      </c>
      <c r="T43" s="12">
        <f t="shared" si="42"/>
        <v>0.79390895112139848</v>
      </c>
      <c r="U43" s="12">
        <f t="shared" si="42"/>
        <v>0.79390895112139848</v>
      </c>
      <c r="V43" s="12">
        <f t="shared" si="42"/>
        <v>0.79390895112139859</v>
      </c>
      <c r="W43" s="12">
        <f t="shared" si="42"/>
        <v>0.79390895112139848</v>
      </c>
      <c r="X43" s="12">
        <f t="shared" si="42"/>
        <v>0.79390895112139881</v>
      </c>
      <c r="Y43" s="12">
        <f t="shared" si="42"/>
        <v>0.79390895112139848</v>
      </c>
      <c r="Z43" s="12">
        <f t="shared" si="42"/>
        <v>0.79390895112139859</v>
      </c>
      <c r="AA43" s="12">
        <f t="shared" si="42"/>
        <v>0.79390895112139848</v>
      </c>
      <c r="AB43" s="12">
        <f t="shared" si="43"/>
        <v>0.79390895112139837</v>
      </c>
      <c r="AC43" s="12">
        <f t="shared" si="43"/>
        <v>0.79390895112139848</v>
      </c>
      <c r="AD43" s="12">
        <f t="shared" si="43"/>
        <v>0.7939089511213987</v>
      </c>
      <c r="AE43" s="12">
        <f t="shared" si="43"/>
        <v>0.79390895112139859</v>
      </c>
      <c r="AF43" s="12">
        <f t="shared" si="43"/>
        <v>0.79390895112139837</v>
      </c>
      <c r="AG43" s="12">
        <f t="shared" si="43"/>
        <v>0.79390895112139881</v>
      </c>
      <c r="AH43" s="12">
        <f t="shared" si="43"/>
        <v>0.79390895112139848</v>
      </c>
      <c r="AI43" s="12">
        <f t="shared" si="43"/>
        <v>0.79390895112139848</v>
      </c>
      <c r="AJ43" s="12">
        <f t="shared" si="43"/>
        <v>0.79390895112139859</v>
      </c>
      <c r="AK43" s="12">
        <f t="shared" si="43"/>
        <v>0.79390895112139859</v>
      </c>
      <c r="AL43" s="12">
        <f t="shared" si="44"/>
        <v>0.79390895112139848</v>
      </c>
      <c r="AM43" s="12">
        <f t="shared" si="44"/>
        <v>0.79390895112139848</v>
      </c>
      <c r="AN43" s="12">
        <f t="shared" si="44"/>
        <v>0.79390895112139848</v>
      </c>
      <c r="AO43" s="12">
        <f t="shared" si="44"/>
        <v>0.7939089511213987</v>
      </c>
      <c r="AP43" s="12">
        <f t="shared" si="44"/>
        <v>0.79390895112139859</v>
      </c>
      <c r="AQ43" s="12">
        <f t="shared" si="44"/>
        <v>0.79390895112139848</v>
      </c>
      <c r="AR43" s="12">
        <f t="shared" si="44"/>
        <v>0.79390895112139859</v>
      </c>
      <c r="AS43" s="12">
        <f t="shared" si="44"/>
        <v>0.79390895112139859</v>
      </c>
      <c r="AT43" s="12">
        <f t="shared" si="44"/>
        <v>0.79390895112139859</v>
      </c>
      <c r="AU43" s="12">
        <f t="shared" si="44"/>
        <v>0.79390895112139848</v>
      </c>
    </row>
    <row r="44" spans="1:47">
      <c r="A44" s="119"/>
      <c r="B44" s="119"/>
      <c r="C44" s="7" t="str">
        <f>C139&amp;"Load Factor"</f>
        <v>(Regional Jets급)Load Factor</v>
      </c>
      <c r="D44" s="86" t="s">
        <v>63</v>
      </c>
      <c r="E44" s="86"/>
      <c r="F44" s="83" t="str">
        <f>C139&amp;"탑승율"</f>
        <v>(Regional Jets급)탑승율</v>
      </c>
      <c r="G44" s="83">
        <f>IFERROR(SUMIF($H$150:$Q$150,"O",H44:Q44)/COUNTIFS($H$150:$Q$150,"O",H44:Q44,"&lt;&gt;0"),0)</f>
        <v>0.66509433962264153</v>
      </c>
      <c r="H44" s="1">
        <f>VLOOKUP($F44,raw_data!$1:$1048576,MATCH(H$1,raw_data!$1:$1,0),FALSE)</f>
        <v>0</v>
      </c>
      <c r="I44" s="1">
        <f>VLOOKUP($F44,raw_data!$1:$1048576,MATCH(I$1,raw_data!$1:$1,0),FALSE)</f>
        <v>0</v>
      </c>
      <c r="J44" s="1">
        <f>VLOOKUP($F44,raw_data!$1:$1048576,MATCH(J$1,raw_data!$1:$1,0),FALSE)</f>
        <v>0</v>
      </c>
      <c r="K44" s="1">
        <f>VLOOKUP($F44,raw_data!$1:$1048576,MATCH(K$1,raw_data!$1:$1,0),FALSE)</f>
        <v>0</v>
      </c>
      <c r="L44" s="1">
        <f>VLOOKUP($F44,raw_data!$1:$1048576,MATCH(L$1,raw_data!$1:$1,0),FALSE)</f>
        <v>0</v>
      </c>
      <c r="M44" s="1">
        <f>VLOOKUP($F44,raw_data!$1:$1048576,MATCH(M$1,raw_data!$1:$1,0),FALSE)</f>
        <v>0</v>
      </c>
      <c r="N44" s="1">
        <f>VLOOKUP($F44,raw_data!$1:$1048576,MATCH(N$1,raw_data!$1:$1,0),FALSE)</f>
        <v>0</v>
      </c>
      <c r="O44" s="1">
        <f>VLOOKUP($F44,raw_data!$1:$1048576,MATCH(O$1,raw_data!$1:$1,0),FALSE)</f>
        <v>0</v>
      </c>
      <c r="P44" s="1">
        <f>VLOOKUP($F44,raw_data!$1:$1048576,MATCH(P$1,raw_data!$1:$1,0),FALSE)</f>
        <v>0.59905660377358494</v>
      </c>
      <c r="Q44" s="1">
        <f>VLOOKUP($F44,raw_data!$1:$1048576,MATCH(Q$1,raw_data!$1:$1,0),FALSE)</f>
        <v>0.66509433962264153</v>
      </c>
      <c r="R44" s="12">
        <f t="shared" si="42"/>
        <v>0.66481642374619776</v>
      </c>
      <c r="S44" s="12">
        <f t="shared" si="42"/>
        <v>0.66481642374619776</v>
      </c>
      <c r="T44" s="12">
        <f t="shared" si="42"/>
        <v>0.66481642374619765</v>
      </c>
      <c r="U44" s="12">
        <f t="shared" si="42"/>
        <v>0.66481642374619765</v>
      </c>
      <c r="V44" s="12">
        <f t="shared" si="42"/>
        <v>0.66481642374619776</v>
      </c>
      <c r="W44" s="12">
        <f t="shared" si="42"/>
        <v>0.66481642374619754</v>
      </c>
      <c r="X44" s="12">
        <f t="shared" si="42"/>
        <v>0.66481642374619787</v>
      </c>
      <c r="Y44" s="12">
        <f t="shared" si="42"/>
        <v>0.66481642374619765</v>
      </c>
      <c r="Z44" s="12">
        <f t="shared" si="42"/>
        <v>0.66481642374619776</v>
      </c>
      <c r="AA44" s="12">
        <f t="shared" si="42"/>
        <v>0.66481642374619765</v>
      </c>
      <c r="AB44" s="12">
        <f t="shared" si="43"/>
        <v>0.66481642374619754</v>
      </c>
      <c r="AC44" s="12">
        <f t="shared" si="43"/>
        <v>0.66481642374619754</v>
      </c>
      <c r="AD44" s="12">
        <f t="shared" si="43"/>
        <v>0.66481642374619776</v>
      </c>
      <c r="AE44" s="12">
        <f t="shared" si="43"/>
        <v>0.66481642374619776</v>
      </c>
      <c r="AF44" s="12">
        <f t="shared" si="43"/>
        <v>0.66481642374619754</v>
      </c>
      <c r="AG44" s="12">
        <f t="shared" si="43"/>
        <v>0.66481642374619787</v>
      </c>
      <c r="AH44" s="12">
        <f t="shared" si="43"/>
        <v>0.66481642374619765</v>
      </c>
      <c r="AI44" s="12">
        <f t="shared" si="43"/>
        <v>0.66481642374619754</v>
      </c>
      <c r="AJ44" s="12">
        <f t="shared" si="43"/>
        <v>0.66481642374619776</v>
      </c>
      <c r="AK44" s="12">
        <f t="shared" si="43"/>
        <v>0.66481642374619776</v>
      </c>
      <c r="AL44" s="12">
        <f t="shared" si="44"/>
        <v>0.66481642374619765</v>
      </c>
      <c r="AM44" s="12">
        <f t="shared" si="44"/>
        <v>0.66481642374619765</v>
      </c>
      <c r="AN44" s="12">
        <f t="shared" si="44"/>
        <v>0.66481642374619765</v>
      </c>
      <c r="AO44" s="12">
        <f t="shared" si="44"/>
        <v>0.66481642374619776</v>
      </c>
      <c r="AP44" s="12">
        <f t="shared" si="44"/>
        <v>0.66481642374619776</v>
      </c>
      <c r="AQ44" s="12">
        <f t="shared" si="44"/>
        <v>0.66481642374619765</v>
      </c>
      <c r="AR44" s="12">
        <f t="shared" si="44"/>
        <v>0.66481642374619776</v>
      </c>
      <c r="AS44" s="12">
        <f t="shared" si="44"/>
        <v>0.66481642374619776</v>
      </c>
      <c r="AT44" s="12">
        <f t="shared" si="44"/>
        <v>0.66481642374619776</v>
      </c>
      <c r="AU44" s="12">
        <f t="shared" si="44"/>
        <v>0.66481642374619765</v>
      </c>
    </row>
    <row r="45" spans="1:47">
      <c r="A45" s="119"/>
      <c r="B45" s="120"/>
      <c r="C45" s="37" t="str">
        <f>C140&amp;"Load Factor"</f>
        <v>(Business Jets급)Load Factor</v>
      </c>
      <c r="D45" s="87" t="s">
        <v>63</v>
      </c>
      <c r="E45" s="87"/>
      <c r="F45" s="83" t="str">
        <f>C140&amp;"탑승율"</f>
        <v>(Business Jets급)탑승율</v>
      </c>
      <c r="G45" s="83">
        <f>IFERROR(SUMIF($H$150:$Q$150,"O",H45:Q45)/COUNTIFS($H$150:$Q$150,"O",H45:Q45,"&lt;&gt;0"),0)</f>
        <v>0</v>
      </c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22">
        <f t="shared" si="42"/>
        <v>0</v>
      </c>
      <c r="S45" s="22">
        <f t="shared" si="42"/>
        <v>0</v>
      </c>
      <c r="T45" s="22">
        <f t="shared" si="42"/>
        <v>0</v>
      </c>
      <c r="U45" s="22">
        <f t="shared" si="42"/>
        <v>0</v>
      </c>
      <c r="V45" s="22">
        <f t="shared" si="42"/>
        <v>0</v>
      </c>
      <c r="W45" s="22">
        <f t="shared" si="42"/>
        <v>0</v>
      </c>
      <c r="X45" s="22">
        <f t="shared" si="42"/>
        <v>0</v>
      </c>
      <c r="Y45" s="22">
        <f t="shared" si="42"/>
        <v>0</v>
      </c>
      <c r="Z45" s="22">
        <f t="shared" si="42"/>
        <v>0</v>
      </c>
      <c r="AA45" s="22">
        <f t="shared" si="42"/>
        <v>0</v>
      </c>
      <c r="AB45" s="22">
        <f t="shared" si="43"/>
        <v>0</v>
      </c>
      <c r="AC45" s="22">
        <f t="shared" si="43"/>
        <v>0</v>
      </c>
      <c r="AD45" s="22">
        <f t="shared" si="43"/>
        <v>0</v>
      </c>
      <c r="AE45" s="22">
        <f t="shared" si="43"/>
        <v>0</v>
      </c>
      <c r="AF45" s="22">
        <f t="shared" si="43"/>
        <v>0</v>
      </c>
      <c r="AG45" s="22">
        <f t="shared" si="43"/>
        <v>0</v>
      </c>
      <c r="AH45" s="22">
        <f t="shared" si="43"/>
        <v>0</v>
      </c>
      <c r="AI45" s="22">
        <f t="shared" si="43"/>
        <v>0</v>
      </c>
      <c r="AJ45" s="22">
        <f t="shared" si="43"/>
        <v>0</v>
      </c>
      <c r="AK45" s="22">
        <f t="shared" si="43"/>
        <v>0</v>
      </c>
      <c r="AL45" s="22">
        <f t="shared" si="44"/>
        <v>0</v>
      </c>
      <c r="AM45" s="22">
        <f t="shared" si="44"/>
        <v>0</v>
      </c>
      <c r="AN45" s="22">
        <f t="shared" si="44"/>
        <v>0</v>
      </c>
      <c r="AO45" s="22">
        <f t="shared" si="44"/>
        <v>0</v>
      </c>
      <c r="AP45" s="22">
        <f t="shared" si="44"/>
        <v>0</v>
      </c>
      <c r="AQ45" s="22">
        <f t="shared" si="44"/>
        <v>0</v>
      </c>
      <c r="AR45" s="22">
        <f t="shared" si="44"/>
        <v>0</v>
      </c>
      <c r="AS45" s="22">
        <f t="shared" si="44"/>
        <v>0</v>
      </c>
      <c r="AT45" s="22">
        <f t="shared" si="44"/>
        <v>0</v>
      </c>
      <c r="AU45" s="22">
        <f t="shared" si="44"/>
        <v>0</v>
      </c>
    </row>
    <row r="46" spans="1:47">
      <c r="A46" s="119"/>
      <c r="B46" s="126" t="s">
        <v>608</v>
      </c>
      <c r="C46" s="40" t="s">
        <v>69</v>
      </c>
      <c r="D46" s="76" t="s">
        <v>63</v>
      </c>
      <c r="E46" s="76"/>
      <c r="F46" s="89"/>
      <c r="G46" s="89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9">
        <f t="shared" ref="R46:AU46" si="45">R16/SUMPRODUCT(R29:R32,R37:R40,R42:R45,$G47:$G50)</f>
        <v>1.0001828919484876</v>
      </c>
      <c r="S46" s="29">
        <f t="shared" si="45"/>
        <v>1.0001828919484874</v>
      </c>
      <c r="T46" s="29">
        <f t="shared" si="45"/>
        <v>1.0001828919484876</v>
      </c>
      <c r="U46" s="29">
        <f t="shared" si="45"/>
        <v>1.0001828919484874</v>
      </c>
      <c r="V46" s="29">
        <f t="shared" si="45"/>
        <v>1.0001828919484876</v>
      </c>
      <c r="W46" s="29">
        <f t="shared" si="45"/>
        <v>1.0001828919484876</v>
      </c>
      <c r="X46" s="29">
        <f t="shared" si="45"/>
        <v>1.0001828919484872</v>
      </c>
      <c r="Y46" s="29">
        <f t="shared" si="45"/>
        <v>1.0001828919484876</v>
      </c>
      <c r="Z46" s="29">
        <f t="shared" si="45"/>
        <v>1.0001828919484874</v>
      </c>
      <c r="AA46" s="29">
        <f t="shared" si="45"/>
        <v>1.0001828919484876</v>
      </c>
      <c r="AB46" s="29">
        <f t="shared" si="45"/>
        <v>1.0001828919484876</v>
      </c>
      <c r="AC46" s="29">
        <f t="shared" si="45"/>
        <v>1.0001828919484876</v>
      </c>
      <c r="AD46" s="29">
        <f t="shared" si="45"/>
        <v>1.0001828919484876</v>
      </c>
      <c r="AE46" s="29">
        <f t="shared" si="45"/>
        <v>1.0001828919484876</v>
      </c>
      <c r="AF46" s="29">
        <f t="shared" si="45"/>
        <v>1.0001828919484876</v>
      </c>
      <c r="AG46" s="29">
        <f t="shared" si="45"/>
        <v>1.0001828919484874</v>
      </c>
      <c r="AH46" s="29">
        <f t="shared" si="45"/>
        <v>1.0001828919484879</v>
      </c>
      <c r="AI46" s="29">
        <f t="shared" si="45"/>
        <v>1.0001828919484874</v>
      </c>
      <c r="AJ46" s="29">
        <f t="shared" si="45"/>
        <v>1.0001828919484872</v>
      </c>
      <c r="AK46" s="29">
        <f t="shared" si="45"/>
        <v>1.0001828919484876</v>
      </c>
      <c r="AL46" s="29">
        <f t="shared" si="45"/>
        <v>1.0001828919484876</v>
      </c>
      <c r="AM46" s="29">
        <f t="shared" si="45"/>
        <v>1.0001828919484876</v>
      </c>
      <c r="AN46" s="29">
        <f t="shared" si="45"/>
        <v>1.0001828919484879</v>
      </c>
      <c r="AO46" s="29">
        <f t="shared" si="45"/>
        <v>1.0001828919484874</v>
      </c>
      <c r="AP46" s="29">
        <f t="shared" si="45"/>
        <v>1.0001828919484876</v>
      </c>
      <c r="AQ46" s="29">
        <f t="shared" si="45"/>
        <v>1.0001828919484876</v>
      </c>
      <c r="AR46" s="29">
        <f t="shared" si="45"/>
        <v>1.0001828919484876</v>
      </c>
      <c r="AS46" s="29">
        <f t="shared" si="45"/>
        <v>1.0001828919484876</v>
      </c>
      <c r="AT46" s="29">
        <f t="shared" si="45"/>
        <v>1.0001828919484874</v>
      </c>
      <c r="AU46" s="29">
        <f t="shared" si="45"/>
        <v>1.0001828919484876</v>
      </c>
    </row>
    <row r="47" spans="1:47">
      <c r="A47" s="119"/>
      <c r="B47" s="119"/>
      <c r="C47" s="7" t="str">
        <f>C137&amp;"Transfer Rate"</f>
        <v>(Widebody Jets급)Transfer Rate</v>
      </c>
      <c r="D47" s="86" t="s">
        <v>63</v>
      </c>
      <c r="E47" s="86"/>
      <c r="F47" s="83" t="str">
        <f>C137&amp;"환승율"</f>
        <v>(Widebody Jets급)환승율</v>
      </c>
      <c r="G47" s="83">
        <f>IFERROR(SUMIF($H$151:$Q$151,"O",H47:Q47)/COUNTIFS($H$151:$Q$151,"O",H47:Q47,"&lt;&gt;0"),0)</f>
        <v>2.7035310310542782E-2</v>
      </c>
      <c r="H47" s="20">
        <f>VLOOKUP($F47,raw_data!$1:$1048576,MATCH(H$1,raw_data!$1:$1,0),FALSE)</f>
        <v>8.0246182980234351E-2</v>
      </c>
      <c r="I47" s="20">
        <f>VLOOKUP($F47,raw_data!$1:$1048576,MATCH(I$1,raw_data!$1:$1,0),FALSE)</f>
        <v>4.9245356037151702E-2</v>
      </c>
      <c r="J47" s="20">
        <f>VLOOKUP($F47,raw_data!$1:$1048576,MATCH(J$1,raw_data!$1:$1,0),FALSE)</f>
        <v>3.8969660758149109E-2</v>
      </c>
      <c r="K47" s="20">
        <f>VLOOKUP($F47,raw_data!$1:$1048576,MATCH(K$1,raw_data!$1:$1,0),FALSE)</f>
        <v>2.1257861635220129E-2</v>
      </c>
      <c r="L47" s="20">
        <f>VLOOKUP($F47,raw_data!$1:$1048576,MATCH(L$1,raw_data!$1:$1,0),FALSE)</f>
        <v>2.6584036032374948E-2</v>
      </c>
      <c r="M47" s="20">
        <f>VLOOKUP($F47,raw_data!$1:$1048576,MATCH(M$1,raw_data!$1:$1,0),FALSE)</f>
        <v>2.3334747560458211E-2</v>
      </c>
      <c r="N47" s="20">
        <f>VLOOKUP($F47,raw_data!$1:$1048576,MATCH(N$1,raw_data!$1:$1,0),FALSE)</f>
        <v>0.1177352830896138</v>
      </c>
      <c r="O47" s="20">
        <f>VLOOKUP($F47,raw_data!$1:$1048576,MATCH(O$1,raw_data!$1:$1,0),FALSE)</f>
        <v>3.6607266196988543E-2</v>
      </c>
      <c r="P47" s="20">
        <f>VLOOKUP($F47,raw_data!$1:$1048576,MATCH(P$1,raw_data!$1:$1,0),FALSE)</f>
        <v>2.0815264527320031E-2</v>
      </c>
      <c r="Q47" s="20">
        <f>VLOOKUP($F47,raw_data!$1:$1048576,MATCH(Q$1,raw_data!$1:$1,0),FALSE)</f>
        <v>3.3264033264033273E-2</v>
      </c>
      <c r="R47" s="13">
        <f t="shared" ref="R47:AA50" si="46">$G47*R$46</f>
        <v>2.7040254851123446E-2</v>
      </c>
      <c r="S47" s="13">
        <f t="shared" si="46"/>
        <v>2.7040254851123439E-2</v>
      </c>
      <c r="T47" s="13">
        <f t="shared" si="46"/>
        <v>2.7040254851123446E-2</v>
      </c>
      <c r="U47" s="13">
        <f t="shared" si="46"/>
        <v>2.7040254851123439E-2</v>
      </c>
      <c r="V47" s="13">
        <f t="shared" si="46"/>
        <v>2.7040254851123446E-2</v>
      </c>
      <c r="W47" s="13">
        <f t="shared" si="46"/>
        <v>2.7040254851123446E-2</v>
      </c>
      <c r="X47" s="13">
        <f t="shared" si="46"/>
        <v>2.7040254851123432E-2</v>
      </c>
      <c r="Y47" s="13">
        <f t="shared" si="46"/>
        <v>2.7040254851123446E-2</v>
      </c>
      <c r="Z47" s="13">
        <f t="shared" si="46"/>
        <v>2.7040254851123439E-2</v>
      </c>
      <c r="AA47" s="13">
        <f t="shared" si="46"/>
        <v>2.7040254851123446E-2</v>
      </c>
      <c r="AB47" s="13">
        <f t="shared" ref="AB47:AK50" si="47">$G47*AB$46</f>
        <v>2.7040254851123446E-2</v>
      </c>
      <c r="AC47" s="13">
        <f t="shared" si="47"/>
        <v>2.7040254851123446E-2</v>
      </c>
      <c r="AD47" s="13">
        <f t="shared" si="47"/>
        <v>2.7040254851123446E-2</v>
      </c>
      <c r="AE47" s="13">
        <f t="shared" si="47"/>
        <v>2.7040254851123446E-2</v>
      </c>
      <c r="AF47" s="13">
        <f t="shared" si="47"/>
        <v>2.7040254851123446E-2</v>
      </c>
      <c r="AG47" s="13">
        <f t="shared" si="47"/>
        <v>2.7040254851123439E-2</v>
      </c>
      <c r="AH47" s="13">
        <f t="shared" si="47"/>
        <v>2.7040254851123453E-2</v>
      </c>
      <c r="AI47" s="13">
        <f t="shared" si="47"/>
        <v>2.7040254851123439E-2</v>
      </c>
      <c r="AJ47" s="13">
        <f t="shared" si="47"/>
        <v>2.7040254851123432E-2</v>
      </c>
      <c r="AK47" s="13">
        <f t="shared" si="47"/>
        <v>2.7040254851123446E-2</v>
      </c>
      <c r="AL47" s="13">
        <f t="shared" ref="AL47:AU50" si="48">$G47*AL$46</f>
        <v>2.7040254851123446E-2</v>
      </c>
      <c r="AM47" s="13">
        <f t="shared" si="48"/>
        <v>2.7040254851123446E-2</v>
      </c>
      <c r="AN47" s="13">
        <f t="shared" si="48"/>
        <v>2.7040254851123453E-2</v>
      </c>
      <c r="AO47" s="13">
        <f t="shared" si="48"/>
        <v>2.7040254851123439E-2</v>
      </c>
      <c r="AP47" s="13">
        <f t="shared" si="48"/>
        <v>2.7040254851123446E-2</v>
      </c>
      <c r="AQ47" s="13">
        <f t="shared" si="48"/>
        <v>2.7040254851123446E-2</v>
      </c>
      <c r="AR47" s="13">
        <f t="shared" si="48"/>
        <v>2.7040254851123446E-2</v>
      </c>
      <c r="AS47" s="13">
        <f t="shared" si="48"/>
        <v>2.7040254851123446E-2</v>
      </c>
      <c r="AT47" s="13">
        <f t="shared" si="48"/>
        <v>2.7040254851123439E-2</v>
      </c>
      <c r="AU47" s="13">
        <f t="shared" si="48"/>
        <v>2.7040254851123446E-2</v>
      </c>
    </row>
    <row r="48" spans="1:47">
      <c r="A48" s="119"/>
      <c r="B48" s="119"/>
      <c r="C48" s="7" t="str">
        <f>C138&amp;"Transfer Rate"</f>
        <v>(Narrowbody Jets급)Transfer Rate</v>
      </c>
      <c r="D48" s="86" t="s">
        <v>63</v>
      </c>
      <c r="E48" s="86"/>
      <c r="F48" s="83" t="str">
        <f>C138&amp;"환승율"</f>
        <v>(Narrowbody Jets급)환승율</v>
      </c>
      <c r="G48" s="83">
        <f>IFERROR(SUMIF($H$151:$Q$151,"O",H48:Q48)/COUNTIFS($H$151:$Q$151,"O",H48:Q48,"&lt;&gt;0"),0)</f>
        <v>2.7160940595983979E-2</v>
      </c>
      <c r="H48" s="20">
        <f>VLOOKUP($F48,raw_data!$1:$1048576,MATCH(H$1,raw_data!$1:$1,0),FALSE)</f>
        <v>5.7968295050145592E-2</v>
      </c>
      <c r="I48" s="20">
        <f>VLOOKUP($F48,raw_data!$1:$1048576,MATCH(I$1,raw_data!$1:$1,0),FALSE)</f>
        <v>4.8445303630949572E-2</v>
      </c>
      <c r="J48" s="20">
        <f>VLOOKUP($F48,raw_data!$1:$1048576,MATCH(J$1,raw_data!$1:$1,0),FALSE)</f>
        <v>3.761218498875523E-2</v>
      </c>
      <c r="K48" s="20">
        <f>VLOOKUP($F48,raw_data!$1:$1048576,MATCH(K$1,raw_data!$1:$1,0),FALSE)</f>
        <v>2.673666572935177E-2</v>
      </c>
      <c r="L48" s="20">
        <f>VLOOKUP($F48,raw_data!$1:$1048576,MATCH(L$1,raw_data!$1:$1,0),FALSE)</f>
        <v>2.4408625921980832E-2</v>
      </c>
      <c r="M48" s="20">
        <f>VLOOKUP($F48,raw_data!$1:$1048576,MATCH(M$1,raw_data!$1:$1,0),FALSE)</f>
        <v>1.6190476190476189E-2</v>
      </c>
      <c r="N48" s="20">
        <f>VLOOKUP($F48,raw_data!$1:$1048576,MATCH(N$1,raw_data!$1:$1,0),FALSE)</f>
        <v>3.077249119272198E-2</v>
      </c>
      <c r="O48" s="20">
        <f>VLOOKUP($F48,raw_data!$1:$1048576,MATCH(O$1,raw_data!$1:$1,0),FALSE)</f>
        <v>3.2865204762752773E-2</v>
      </c>
      <c r="P48" s="20">
        <f>VLOOKUP($F48,raw_data!$1:$1048576,MATCH(P$1,raw_data!$1:$1,0),FALSE)</f>
        <v>1.7530731775564239E-2</v>
      </c>
      <c r="Q48" s="20">
        <f>VLOOKUP($F48,raw_data!$1:$1048576,MATCH(Q$1,raw_data!$1:$1,0),FALSE)</f>
        <v>3.0337530136619339E-2</v>
      </c>
      <c r="R48" s="13">
        <f t="shared" si="46"/>
        <v>2.7165908113332336E-2</v>
      </c>
      <c r="S48" s="13">
        <f t="shared" si="46"/>
        <v>2.7165908113332329E-2</v>
      </c>
      <c r="T48" s="13">
        <f t="shared" si="46"/>
        <v>2.7165908113332336E-2</v>
      </c>
      <c r="U48" s="13">
        <f t="shared" si="46"/>
        <v>2.7165908113332329E-2</v>
      </c>
      <c r="V48" s="13">
        <f t="shared" si="46"/>
        <v>2.7165908113332336E-2</v>
      </c>
      <c r="W48" s="13">
        <f t="shared" si="46"/>
        <v>2.7165908113332336E-2</v>
      </c>
      <c r="X48" s="13">
        <f t="shared" si="46"/>
        <v>2.7165908113332322E-2</v>
      </c>
      <c r="Y48" s="13">
        <f t="shared" si="46"/>
        <v>2.7165908113332336E-2</v>
      </c>
      <c r="Z48" s="13">
        <f t="shared" si="46"/>
        <v>2.7165908113332329E-2</v>
      </c>
      <c r="AA48" s="13">
        <f t="shared" si="46"/>
        <v>2.7165908113332336E-2</v>
      </c>
      <c r="AB48" s="13">
        <f t="shared" si="47"/>
        <v>2.7165908113332336E-2</v>
      </c>
      <c r="AC48" s="13">
        <f t="shared" si="47"/>
        <v>2.7165908113332336E-2</v>
      </c>
      <c r="AD48" s="13">
        <f t="shared" si="47"/>
        <v>2.7165908113332336E-2</v>
      </c>
      <c r="AE48" s="13">
        <f t="shared" si="47"/>
        <v>2.7165908113332336E-2</v>
      </c>
      <c r="AF48" s="13">
        <f t="shared" si="47"/>
        <v>2.7165908113332336E-2</v>
      </c>
      <c r="AG48" s="13">
        <f t="shared" si="47"/>
        <v>2.7165908113332329E-2</v>
      </c>
      <c r="AH48" s="13">
        <f t="shared" si="47"/>
        <v>2.7165908113332343E-2</v>
      </c>
      <c r="AI48" s="13">
        <f t="shared" si="47"/>
        <v>2.7165908113332329E-2</v>
      </c>
      <c r="AJ48" s="13">
        <f t="shared" si="47"/>
        <v>2.7165908113332322E-2</v>
      </c>
      <c r="AK48" s="13">
        <f t="shared" si="47"/>
        <v>2.7165908113332336E-2</v>
      </c>
      <c r="AL48" s="13">
        <f t="shared" si="48"/>
        <v>2.7165908113332336E-2</v>
      </c>
      <c r="AM48" s="13">
        <f t="shared" si="48"/>
        <v>2.7165908113332336E-2</v>
      </c>
      <c r="AN48" s="13">
        <f t="shared" si="48"/>
        <v>2.7165908113332343E-2</v>
      </c>
      <c r="AO48" s="13">
        <f t="shared" si="48"/>
        <v>2.7165908113332329E-2</v>
      </c>
      <c r="AP48" s="13">
        <f t="shared" si="48"/>
        <v>2.7165908113332336E-2</v>
      </c>
      <c r="AQ48" s="13">
        <f t="shared" si="48"/>
        <v>2.7165908113332336E-2</v>
      </c>
      <c r="AR48" s="13">
        <f t="shared" si="48"/>
        <v>2.7165908113332336E-2</v>
      </c>
      <c r="AS48" s="13">
        <f t="shared" si="48"/>
        <v>2.7165908113332336E-2</v>
      </c>
      <c r="AT48" s="13">
        <f t="shared" si="48"/>
        <v>2.7165908113332329E-2</v>
      </c>
      <c r="AU48" s="13">
        <f t="shared" si="48"/>
        <v>2.7165908113332336E-2</v>
      </c>
    </row>
    <row r="49" spans="1:47">
      <c r="A49" s="119"/>
      <c r="B49" s="119"/>
      <c r="C49" s="7" t="str">
        <f>C139&amp;"Transfer Rate"</f>
        <v>(Regional Jets급)Transfer Rate</v>
      </c>
      <c r="D49" s="86" t="s">
        <v>63</v>
      </c>
      <c r="E49" s="86"/>
      <c r="F49" s="83" t="str">
        <f>C139&amp;"환승율"</f>
        <v>(Regional Jets급)환승율</v>
      </c>
      <c r="G49" s="83">
        <f>IFERROR(SUMIF($H$151:$Q$151,"O",H49:Q49)/COUNTIFS($H$151:$Q$151,"O",H49:Q49,"&lt;&gt;0"),0)</f>
        <v>2.8368794326241131E-2</v>
      </c>
      <c r="H49" s="20">
        <f>VLOOKUP($F49,raw_data!$1:$1048576,MATCH(H$1,raw_data!$1:$1,0),FALSE)</f>
        <v>0</v>
      </c>
      <c r="I49" s="20">
        <f>VLOOKUP($F49,raw_data!$1:$1048576,MATCH(I$1,raw_data!$1:$1,0),FALSE)</f>
        <v>0</v>
      </c>
      <c r="J49" s="20">
        <f>VLOOKUP($F49,raw_data!$1:$1048576,MATCH(J$1,raw_data!$1:$1,0),FALSE)</f>
        <v>0</v>
      </c>
      <c r="K49" s="20">
        <f>VLOOKUP($F49,raw_data!$1:$1048576,MATCH(K$1,raw_data!$1:$1,0),FALSE)</f>
        <v>0</v>
      </c>
      <c r="L49" s="20">
        <f>VLOOKUP($F49,raw_data!$1:$1048576,MATCH(L$1,raw_data!$1:$1,0),FALSE)</f>
        <v>0</v>
      </c>
      <c r="M49" s="20">
        <f>VLOOKUP($F49,raw_data!$1:$1048576,MATCH(M$1,raw_data!$1:$1,0),FALSE)</f>
        <v>0</v>
      </c>
      <c r="N49" s="20">
        <f>VLOOKUP($F49,raw_data!$1:$1048576,MATCH(N$1,raw_data!$1:$1,0),FALSE)</f>
        <v>0</v>
      </c>
      <c r="O49" s="20">
        <f>VLOOKUP($F49,raw_data!$1:$1048576,MATCH(O$1,raw_data!$1:$1,0),FALSE)</f>
        <v>0</v>
      </c>
      <c r="P49" s="20">
        <f>VLOOKUP($F49,raw_data!$1:$1048576,MATCH(P$1,raw_data!$1:$1,0),FALSE)</f>
        <v>0</v>
      </c>
      <c r="Q49" s="20">
        <f>VLOOKUP($F49,raw_data!$1:$1048576,MATCH(Q$1,raw_data!$1:$1,0),FALSE)</f>
        <v>2.8368794326241131E-2</v>
      </c>
      <c r="R49" s="13">
        <f t="shared" si="46"/>
        <v>2.8373982750311701E-2</v>
      </c>
      <c r="S49" s="13">
        <f t="shared" si="46"/>
        <v>2.8373982750311697E-2</v>
      </c>
      <c r="T49" s="13">
        <f t="shared" si="46"/>
        <v>2.8373982750311701E-2</v>
      </c>
      <c r="U49" s="13">
        <f t="shared" si="46"/>
        <v>2.8373982750311697E-2</v>
      </c>
      <c r="V49" s="13">
        <f t="shared" si="46"/>
        <v>2.8373982750311701E-2</v>
      </c>
      <c r="W49" s="13">
        <f t="shared" si="46"/>
        <v>2.8373982750311701E-2</v>
      </c>
      <c r="X49" s="13">
        <f t="shared" si="46"/>
        <v>2.837398275031169E-2</v>
      </c>
      <c r="Y49" s="13">
        <f t="shared" si="46"/>
        <v>2.8373982750311701E-2</v>
      </c>
      <c r="Z49" s="13">
        <f t="shared" si="46"/>
        <v>2.8373982750311697E-2</v>
      </c>
      <c r="AA49" s="13">
        <f t="shared" si="46"/>
        <v>2.8373982750311701E-2</v>
      </c>
      <c r="AB49" s="13">
        <f t="shared" si="47"/>
        <v>2.8373982750311701E-2</v>
      </c>
      <c r="AC49" s="13">
        <f t="shared" si="47"/>
        <v>2.8373982750311701E-2</v>
      </c>
      <c r="AD49" s="13">
        <f t="shared" si="47"/>
        <v>2.8373982750311701E-2</v>
      </c>
      <c r="AE49" s="13">
        <f t="shared" si="47"/>
        <v>2.8373982750311701E-2</v>
      </c>
      <c r="AF49" s="13">
        <f t="shared" si="47"/>
        <v>2.8373982750311701E-2</v>
      </c>
      <c r="AG49" s="13">
        <f t="shared" si="47"/>
        <v>2.8373982750311697E-2</v>
      </c>
      <c r="AH49" s="13">
        <f t="shared" si="47"/>
        <v>2.8373982750311708E-2</v>
      </c>
      <c r="AI49" s="13">
        <f t="shared" si="47"/>
        <v>2.8373982750311697E-2</v>
      </c>
      <c r="AJ49" s="13">
        <f t="shared" si="47"/>
        <v>2.837398275031169E-2</v>
      </c>
      <c r="AK49" s="13">
        <f t="shared" si="47"/>
        <v>2.8373982750311701E-2</v>
      </c>
      <c r="AL49" s="13">
        <f t="shared" si="48"/>
        <v>2.8373982750311701E-2</v>
      </c>
      <c r="AM49" s="13">
        <f t="shared" si="48"/>
        <v>2.8373982750311701E-2</v>
      </c>
      <c r="AN49" s="13">
        <f t="shared" si="48"/>
        <v>2.8373982750311708E-2</v>
      </c>
      <c r="AO49" s="13">
        <f t="shared" si="48"/>
        <v>2.8373982750311697E-2</v>
      </c>
      <c r="AP49" s="13">
        <f t="shared" si="48"/>
        <v>2.8373982750311701E-2</v>
      </c>
      <c r="AQ49" s="13">
        <f t="shared" si="48"/>
        <v>2.8373982750311701E-2</v>
      </c>
      <c r="AR49" s="13">
        <f t="shared" si="48"/>
        <v>2.8373982750311701E-2</v>
      </c>
      <c r="AS49" s="13">
        <f t="shared" si="48"/>
        <v>2.8373982750311701E-2</v>
      </c>
      <c r="AT49" s="13">
        <f t="shared" si="48"/>
        <v>2.8373982750311697E-2</v>
      </c>
      <c r="AU49" s="13">
        <f t="shared" si="48"/>
        <v>2.8373982750311701E-2</v>
      </c>
    </row>
    <row r="50" spans="1:47">
      <c r="A50" s="119"/>
      <c r="B50" s="120"/>
      <c r="C50" s="37" t="str">
        <f>C140&amp;"Transfer Rate"</f>
        <v>(Business Jets급)Transfer Rate</v>
      </c>
      <c r="D50" s="87" t="s">
        <v>63</v>
      </c>
      <c r="E50" s="87"/>
      <c r="F50" s="84" t="s">
        <v>70</v>
      </c>
      <c r="G50" s="84">
        <f>IFERROR(SUMIF($H$151:$Q$151,"O",H50:Q50)/COUNTIFS($H$151:$Q$151,"O",H50:Q50,"&lt;&gt;0"),0)</f>
        <v>0</v>
      </c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4">
        <f t="shared" si="46"/>
        <v>0</v>
      </c>
      <c r="S50" s="24">
        <f t="shared" si="46"/>
        <v>0</v>
      </c>
      <c r="T50" s="24">
        <f t="shared" si="46"/>
        <v>0</v>
      </c>
      <c r="U50" s="24">
        <f t="shared" si="46"/>
        <v>0</v>
      </c>
      <c r="V50" s="24">
        <f t="shared" si="46"/>
        <v>0</v>
      </c>
      <c r="W50" s="24">
        <f t="shared" si="46"/>
        <v>0</v>
      </c>
      <c r="X50" s="24">
        <f t="shared" si="46"/>
        <v>0</v>
      </c>
      <c r="Y50" s="24">
        <f t="shared" si="46"/>
        <v>0</v>
      </c>
      <c r="Z50" s="24">
        <f t="shared" si="46"/>
        <v>0</v>
      </c>
      <c r="AA50" s="24">
        <f t="shared" si="46"/>
        <v>0</v>
      </c>
      <c r="AB50" s="24">
        <f t="shared" si="47"/>
        <v>0</v>
      </c>
      <c r="AC50" s="24">
        <f t="shared" si="47"/>
        <v>0</v>
      </c>
      <c r="AD50" s="24">
        <f t="shared" si="47"/>
        <v>0</v>
      </c>
      <c r="AE50" s="24">
        <f t="shared" si="47"/>
        <v>0</v>
      </c>
      <c r="AF50" s="24">
        <f t="shared" si="47"/>
        <v>0</v>
      </c>
      <c r="AG50" s="24">
        <f t="shared" si="47"/>
        <v>0</v>
      </c>
      <c r="AH50" s="24">
        <f t="shared" si="47"/>
        <v>0</v>
      </c>
      <c r="AI50" s="24">
        <f t="shared" si="47"/>
        <v>0</v>
      </c>
      <c r="AJ50" s="24">
        <f t="shared" si="47"/>
        <v>0</v>
      </c>
      <c r="AK50" s="24">
        <f t="shared" si="47"/>
        <v>0</v>
      </c>
      <c r="AL50" s="24">
        <f t="shared" si="48"/>
        <v>0</v>
      </c>
      <c r="AM50" s="24">
        <f t="shared" si="48"/>
        <v>0</v>
      </c>
      <c r="AN50" s="24">
        <f t="shared" si="48"/>
        <v>0</v>
      </c>
      <c r="AO50" s="24">
        <f t="shared" si="48"/>
        <v>0</v>
      </c>
      <c r="AP50" s="24">
        <f t="shared" si="48"/>
        <v>0</v>
      </c>
      <c r="AQ50" s="24">
        <f t="shared" si="48"/>
        <v>0</v>
      </c>
      <c r="AR50" s="24">
        <f t="shared" si="48"/>
        <v>0</v>
      </c>
      <c r="AS50" s="24">
        <f t="shared" si="48"/>
        <v>0</v>
      </c>
      <c r="AT50" s="24">
        <f t="shared" si="48"/>
        <v>0</v>
      </c>
      <c r="AU50" s="24">
        <f t="shared" si="48"/>
        <v>0</v>
      </c>
    </row>
    <row r="51" spans="1:47">
      <c r="A51" s="119"/>
      <c r="B51" s="129" t="s">
        <v>71</v>
      </c>
      <c r="C51" s="65" t="str">
        <f>C137&amp;"Crew"</f>
        <v>(Widebody Jets급)Crew</v>
      </c>
      <c r="D51" s="90" t="s">
        <v>9</v>
      </c>
      <c r="E51" s="90"/>
      <c r="F51" s="79" t="str">
        <f>C137&amp;"대당승무원"</f>
        <v>(Widebody Jets급)대당승무원</v>
      </c>
      <c r="G51" s="79">
        <f>IFERROR(SUMIF($H$152:$Q$152,"O",H51:Q51)/COUNTIFS($H$152:$Q$152,"O",H51:Q51,"&lt;&gt;0"),0)</f>
        <v>11.044569691476907</v>
      </c>
      <c r="H51" s="2">
        <f>VLOOKUP($F51,raw_data!$1:$1048576,MATCH(H$1,raw_data!$1:$1,0),FALSE)</f>
        <v>12.45454545454546</v>
      </c>
      <c r="I51" s="2">
        <f>VLOOKUP($F51,raw_data!$1:$1048576,MATCH(I$1,raw_data!$1:$1,0),FALSE)</f>
        <v>12.651376146788991</v>
      </c>
      <c r="J51" s="2">
        <f>VLOOKUP($F51,raw_data!$1:$1048576,MATCH(J$1,raw_data!$1:$1,0),FALSE)</f>
        <v>11.84146341463415</v>
      </c>
      <c r="K51" s="2">
        <f>VLOOKUP($F51,raw_data!$1:$1048576,MATCH(K$1,raw_data!$1:$1,0),FALSE)</f>
        <v>10.68041237113402</v>
      </c>
      <c r="L51" s="2">
        <f>VLOOKUP($F51,raw_data!$1:$1048576,MATCH(L$1,raw_data!$1:$1,0),FALSE)</f>
        <v>10.587912087912089</v>
      </c>
      <c r="M51" s="16">
        <f>VLOOKUP($F51,raw_data!$1:$1048576,MATCH(M$1,raw_data!$1:$1,0),FALSE)</f>
        <v>11.61538461538461</v>
      </c>
      <c r="N51" s="16">
        <f>VLOOKUP($F51,raw_data!$1:$1048576,MATCH(N$1,raw_data!$1:$1,0),FALSE)</f>
        <v>12.3859649122807</v>
      </c>
      <c r="O51" s="16">
        <f>VLOOKUP($F51,raw_data!$1:$1048576,MATCH(O$1,raw_data!$1:$1,0),FALSE)</f>
        <v>13.37142857142857</v>
      </c>
      <c r="P51" s="16">
        <f>VLOOKUP($F51,raw_data!$1:$1048576,MATCH(P$1,raw_data!$1:$1,0),FALSE)</f>
        <v>12.07758620689655</v>
      </c>
      <c r="Q51" s="16">
        <f>VLOOKUP($F51,raw_data!$1:$1048576,MATCH(Q$1,raw_data!$1:$1,0),FALSE)</f>
        <v>11.86538461538461</v>
      </c>
      <c r="R51" s="25">
        <f>G51</f>
        <v>11.044569691476907</v>
      </c>
      <c r="S51" s="25">
        <f t="shared" ref="S51:AU51" si="49">R51</f>
        <v>11.044569691476907</v>
      </c>
      <c r="T51" s="25">
        <f t="shared" si="49"/>
        <v>11.044569691476907</v>
      </c>
      <c r="U51" s="25">
        <f t="shared" si="49"/>
        <v>11.044569691476907</v>
      </c>
      <c r="V51" s="25">
        <f t="shared" si="49"/>
        <v>11.044569691476907</v>
      </c>
      <c r="W51" s="25">
        <f t="shared" si="49"/>
        <v>11.044569691476907</v>
      </c>
      <c r="X51" s="25">
        <f t="shared" si="49"/>
        <v>11.044569691476907</v>
      </c>
      <c r="Y51" s="25">
        <f t="shared" si="49"/>
        <v>11.044569691476907</v>
      </c>
      <c r="Z51" s="25">
        <f t="shared" si="49"/>
        <v>11.044569691476907</v>
      </c>
      <c r="AA51" s="25">
        <f t="shared" si="49"/>
        <v>11.044569691476907</v>
      </c>
      <c r="AB51" s="25">
        <f t="shared" si="49"/>
        <v>11.044569691476907</v>
      </c>
      <c r="AC51" s="25">
        <f t="shared" si="49"/>
        <v>11.044569691476907</v>
      </c>
      <c r="AD51" s="25">
        <f t="shared" si="49"/>
        <v>11.044569691476907</v>
      </c>
      <c r="AE51" s="25">
        <f t="shared" si="49"/>
        <v>11.044569691476907</v>
      </c>
      <c r="AF51" s="25">
        <f t="shared" si="49"/>
        <v>11.044569691476907</v>
      </c>
      <c r="AG51" s="25">
        <f t="shared" si="49"/>
        <v>11.044569691476907</v>
      </c>
      <c r="AH51" s="25">
        <f t="shared" si="49"/>
        <v>11.044569691476907</v>
      </c>
      <c r="AI51" s="25">
        <f t="shared" si="49"/>
        <v>11.044569691476907</v>
      </c>
      <c r="AJ51" s="25">
        <f t="shared" si="49"/>
        <v>11.044569691476907</v>
      </c>
      <c r="AK51" s="25">
        <f t="shared" si="49"/>
        <v>11.044569691476907</v>
      </c>
      <c r="AL51" s="25">
        <f t="shared" si="49"/>
        <v>11.044569691476907</v>
      </c>
      <c r="AM51" s="25">
        <f t="shared" si="49"/>
        <v>11.044569691476907</v>
      </c>
      <c r="AN51" s="25">
        <f t="shared" si="49"/>
        <v>11.044569691476907</v>
      </c>
      <c r="AO51" s="25">
        <f t="shared" si="49"/>
        <v>11.044569691476907</v>
      </c>
      <c r="AP51" s="25">
        <f t="shared" si="49"/>
        <v>11.044569691476907</v>
      </c>
      <c r="AQ51" s="25">
        <f t="shared" si="49"/>
        <v>11.044569691476907</v>
      </c>
      <c r="AR51" s="25">
        <f t="shared" si="49"/>
        <v>11.044569691476907</v>
      </c>
      <c r="AS51" s="25">
        <f t="shared" si="49"/>
        <v>11.044569691476907</v>
      </c>
      <c r="AT51" s="25">
        <f t="shared" si="49"/>
        <v>11.044569691476907</v>
      </c>
      <c r="AU51" s="25">
        <f t="shared" si="49"/>
        <v>11.044569691476907</v>
      </c>
    </row>
    <row r="52" spans="1:47">
      <c r="A52" s="119"/>
      <c r="B52" s="119"/>
      <c r="C52" s="7" t="str">
        <f>C138&amp;"Crew"</f>
        <v>(Narrowbody Jets급)Crew</v>
      </c>
      <c r="D52" s="86" t="s">
        <v>9</v>
      </c>
      <c r="E52" s="86"/>
      <c r="F52" s="79" t="str">
        <f>C138&amp;"대당승무원"</f>
        <v>(Narrowbody Jets급)대당승무원</v>
      </c>
      <c r="G52" s="79">
        <f>IFERROR(SUMIF($H$152:$Q$152,"O",H52:Q52)/COUNTIFS($H$152:$Q$152,"O",H52:Q52,"&lt;&gt;0"),0)</f>
        <v>8.0909878793801511</v>
      </c>
      <c r="H52" s="2">
        <f>VLOOKUP($F52,raw_data!$1:$1048576,MATCH(H$1,raw_data!$1:$1,0),FALSE)</f>
        <v>7.0677176639197423</v>
      </c>
      <c r="I52" s="2">
        <f>VLOOKUP($F52,raw_data!$1:$1048576,MATCH(I$1,raw_data!$1:$1,0),FALSE)</f>
        <v>6.5097670924117201</v>
      </c>
      <c r="J52" s="2">
        <f>VLOOKUP($F52,raw_data!$1:$1048576,MATCH(J$1,raw_data!$1:$1,0),FALSE)</f>
        <v>6.0424592391304346</v>
      </c>
      <c r="K52" s="2">
        <f>VLOOKUP($F52,raw_data!$1:$1048576,MATCH(K$1,raw_data!$1:$1,0),FALSE)</f>
        <v>8.3834446919079433</v>
      </c>
      <c r="L52" s="2">
        <f>VLOOKUP($F52,raw_data!$1:$1048576,MATCH(L$1,raw_data!$1:$1,0),FALSE)</f>
        <v>8.2715644473597898</v>
      </c>
      <c r="M52" s="2">
        <f>VLOOKUP($F52,raw_data!$1:$1048576,MATCH(M$1,raw_data!$1:$1,0),FALSE)</f>
        <v>7.9468750000000004</v>
      </c>
      <c r="N52" s="2">
        <f>VLOOKUP($F52,raw_data!$1:$1048576,MATCH(N$1,raw_data!$1:$1,0),FALSE)</f>
        <v>8.565881866997108</v>
      </c>
      <c r="O52" s="2">
        <f>VLOOKUP($F52,raw_data!$1:$1048576,MATCH(O$1,raw_data!$1:$1,0),FALSE)</f>
        <v>8.0407435701553354</v>
      </c>
      <c r="P52" s="2">
        <f>VLOOKUP($F52,raw_data!$1:$1048576,MATCH(P$1,raw_data!$1:$1,0),FALSE)</f>
        <v>8.4752365052865883</v>
      </c>
      <c r="Q52" s="2">
        <f>VLOOKUP($F52,raw_data!$1:$1048576,MATCH(Q$1,raw_data!$1:$1,0),FALSE)</f>
        <v>7.6179544988727201</v>
      </c>
      <c r="R52" s="26">
        <f>G52</f>
        <v>8.0909878793801511</v>
      </c>
      <c r="S52" s="26">
        <f t="shared" ref="S52:AU52" si="50">R52</f>
        <v>8.0909878793801511</v>
      </c>
      <c r="T52" s="26">
        <f t="shared" si="50"/>
        <v>8.0909878793801511</v>
      </c>
      <c r="U52" s="26">
        <f t="shared" si="50"/>
        <v>8.0909878793801511</v>
      </c>
      <c r="V52" s="26">
        <f t="shared" si="50"/>
        <v>8.0909878793801511</v>
      </c>
      <c r="W52" s="26">
        <f t="shared" si="50"/>
        <v>8.0909878793801511</v>
      </c>
      <c r="X52" s="26">
        <f t="shared" si="50"/>
        <v>8.0909878793801511</v>
      </c>
      <c r="Y52" s="26">
        <f t="shared" si="50"/>
        <v>8.0909878793801511</v>
      </c>
      <c r="Z52" s="26">
        <f t="shared" si="50"/>
        <v>8.0909878793801511</v>
      </c>
      <c r="AA52" s="26">
        <f t="shared" si="50"/>
        <v>8.0909878793801511</v>
      </c>
      <c r="AB52" s="26">
        <f t="shared" si="50"/>
        <v>8.0909878793801511</v>
      </c>
      <c r="AC52" s="26">
        <f t="shared" si="50"/>
        <v>8.0909878793801511</v>
      </c>
      <c r="AD52" s="26">
        <f t="shared" si="50"/>
        <v>8.0909878793801511</v>
      </c>
      <c r="AE52" s="26">
        <f t="shared" si="50"/>
        <v>8.0909878793801511</v>
      </c>
      <c r="AF52" s="26">
        <f t="shared" si="50"/>
        <v>8.0909878793801511</v>
      </c>
      <c r="AG52" s="26">
        <f t="shared" si="50"/>
        <v>8.0909878793801511</v>
      </c>
      <c r="AH52" s="26">
        <f t="shared" si="50"/>
        <v>8.0909878793801511</v>
      </c>
      <c r="AI52" s="26">
        <f t="shared" si="50"/>
        <v>8.0909878793801511</v>
      </c>
      <c r="AJ52" s="26">
        <f t="shared" si="50"/>
        <v>8.0909878793801511</v>
      </c>
      <c r="AK52" s="26">
        <f t="shared" si="50"/>
        <v>8.0909878793801511</v>
      </c>
      <c r="AL52" s="26">
        <f t="shared" si="50"/>
        <v>8.0909878793801511</v>
      </c>
      <c r="AM52" s="26">
        <f t="shared" si="50"/>
        <v>8.0909878793801511</v>
      </c>
      <c r="AN52" s="26">
        <f t="shared" si="50"/>
        <v>8.0909878793801511</v>
      </c>
      <c r="AO52" s="26">
        <f t="shared" si="50"/>
        <v>8.0909878793801511</v>
      </c>
      <c r="AP52" s="26">
        <f t="shared" si="50"/>
        <v>8.0909878793801511</v>
      </c>
      <c r="AQ52" s="26">
        <f t="shared" si="50"/>
        <v>8.0909878793801511</v>
      </c>
      <c r="AR52" s="26">
        <f t="shared" si="50"/>
        <v>8.0909878793801511</v>
      </c>
      <c r="AS52" s="26">
        <f t="shared" si="50"/>
        <v>8.0909878793801511</v>
      </c>
      <c r="AT52" s="26">
        <f t="shared" si="50"/>
        <v>8.0909878793801511</v>
      </c>
      <c r="AU52" s="26">
        <f t="shared" si="50"/>
        <v>8.0909878793801511</v>
      </c>
    </row>
    <row r="53" spans="1:47">
      <c r="A53" s="119"/>
      <c r="B53" s="119"/>
      <c r="C53" s="7" t="str">
        <f>C139&amp;"Crew"</f>
        <v>(Regional Jets급)Crew</v>
      </c>
      <c r="D53" s="86" t="s">
        <v>9</v>
      </c>
      <c r="E53" s="86"/>
      <c r="F53" s="79" t="str">
        <f>C139&amp;"대당승무원"</f>
        <v>(Regional Jets급)대당승무원</v>
      </c>
      <c r="G53" s="79">
        <f>IFERROR(SUMIF($H$152:$Q$152,"O",H53:Q53)/COUNTIFS($H$152:$Q$152,"O",H53:Q53,"&lt;&gt;0"),0)</f>
        <v>4.5</v>
      </c>
      <c r="H53" s="2">
        <f>VLOOKUP($F53,raw_data!$1:$1048576,MATCH(H$1,raw_data!$1:$1,0),FALSE)</f>
        <v>0</v>
      </c>
      <c r="I53" s="2">
        <f>VLOOKUP($F53,raw_data!$1:$1048576,MATCH(I$1,raw_data!$1:$1,0),FALSE)</f>
        <v>0</v>
      </c>
      <c r="J53" s="2">
        <f>VLOOKUP($F53,raw_data!$1:$1048576,MATCH(J$1,raw_data!$1:$1,0),FALSE)</f>
        <v>0</v>
      </c>
      <c r="K53" s="2">
        <f>VLOOKUP($F53,raw_data!$1:$1048576,MATCH(K$1,raw_data!$1:$1,0),FALSE)</f>
        <v>0</v>
      </c>
      <c r="L53" s="2">
        <f>VLOOKUP($F53,raw_data!$1:$1048576,MATCH(L$1,raw_data!$1:$1,0),FALSE)</f>
        <v>0</v>
      </c>
      <c r="M53" s="2">
        <f>VLOOKUP($F53,raw_data!$1:$1048576,MATCH(M$1,raw_data!$1:$1,0),FALSE)</f>
        <v>0</v>
      </c>
      <c r="N53" s="2">
        <f>VLOOKUP($F53,raw_data!$1:$1048576,MATCH(N$1,raw_data!$1:$1,0),FALSE)</f>
        <v>0</v>
      </c>
      <c r="O53" s="2">
        <f>VLOOKUP($F53,raw_data!$1:$1048576,MATCH(O$1,raw_data!$1:$1,0),FALSE)</f>
        <v>0</v>
      </c>
      <c r="P53" s="2">
        <f>VLOOKUP($F53,raw_data!$1:$1048576,MATCH(P$1,raw_data!$1:$1,0),FALSE)</f>
        <v>4</v>
      </c>
      <c r="Q53" s="2">
        <f>VLOOKUP($F53,raw_data!$1:$1048576,MATCH(Q$1,raw_data!$1:$1,0),FALSE)</f>
        <v>4.5</v>
      </c>
      <c r="R53" s="26">
        <f>G53</f>
        <v>4.5</v>
      </c>
      <c r="S53" s="26">
        <f t="shared" ref="S53:AU53" si="51">R53</f>
        <v>4.5</v>
      </c>
      <c r="T53" s="26">
        <f t="shared" si="51"/>
        <v>4.5</v>
      </c>
      <c r="U53" s="26">
        <f t="shared" si="51"/>
        <v>4.5</v>
      </c>
      <c r="V53" s="26">
        <f t="shared" si="51"/>
        <v>4.5</v>
      </c>
      <c r="W53" s="26">
        <f t="shared" si="51"/>
        <v>4.5</v>
      </c>
      <c r="X53" s="26">
        <f t="shared" si="51"/>
        <v>4.5</v>
      </c>
      <c r="Y53" s="26">
        <f t="shared" si="51"/>
        <v>4.5</v>
      </c>
      <c r="Z53" s="26">
        <f t="shared" si="51"/>
        <v>4.5</v>
      </c>
      <c r="AA53" s="26">
        <f t="shared" si="51"/>
        <v>4.5</v>
      </c>
      <c r="AB53" s="26">
        <f t="shared" si="51"/>
        <v>4.5</v>
      </c>
      <c r="AC53" s="26">
        <f t="shared" si="51"/>
        <v>4.5</v>
      </c>
      <c r="AD53" s="26">
        <f t="shared" si="51"/>
        <v>4.5</v>
      </c>
      <c r="AE53" s="26">
        <f t="shared" si="51"/>
        <v>4.5</v>
      </c>
      <c r="AF53" s="26">
        <f t="shared" si="51"/>
        <v>4.5</v>
      </c>
      <c r="AG53" s="26">
        <f t="shared" si="51"/>
        <v>4.5</v>
      </c>
      <c r="AH53" s="26">
        <f t="shared" si="51"/>
        <v>4.5</v>
      </c>
      <c r="AI53" s="26">
        <f t="shared" si="51"/>
        <v>4.5</v>
      </c>
      <c r="AJ53" s="26">
        <f t="shared" si="51"/>
        <v>4.5</v>
      </c>
      <c r="AK53" s="26">
        <f t="shared" si="51"/>
        <v>4.5</v>
      </c>
      <c r="AL53" s="26">
        <f t="shared" si="51"/>
        <v>4.5</v>
      </c>
      <c r="AM53" s="26">
        <f t="shared" si="51"/>
        <v>4.5</v>
      </c>
      <c r="AN53" s="26">
        <f t="shared" si="51"/>
        <v>4.5</v>
      </c>
      <c r="AO53" s="26">
        <f t="shared" si="51"/>
        <v>4.5</v>
      </c>
      <c r="AP53" s="26">
        <f t="shared" si="51"/>
        <v>4.5</v>
      </c>
      <c r="AQ53" s="26">
        <f t="shared" si="51"/>
        <v>4.5</v>
      </c>
      <c r="AR53" s="26">
        <f t="shared" si="51"/>
        <v>4.5</v>
      </c>
      <c r="AS53" s="26">
        <f t="shared" si="51"/>
        <v>4.5</v>
      </c>
      <c r="AT53" s="26">
        <f t="shared" si="51"/>
        <v>4.5</v>
      </c>
      <c r="AU53" s="26">
        <f t="shared" si="51"/>
        <v>4.5</v>
      </c>
    </row>
    <row r="54" spans="1:47">
      <c r="A54" s="120"/>
      <c r="B54" s="120"/>
      <c r="C54" s="37" t="str">
        <f>C140&amp;"Crew"</f>
        <v>(Business Jets급)Crew</v>
      </c>
      <c r="D54" s="87" t="s">
        <v>9</v>
      </c>
      <c r="E54" s="87"/>
      <c r="F54" s="81" t="str">
        <f>C140&amp;"대당승무원"</f>
        <v>(Business Jets급)대당승무원</v>
      </c>
      <c r="G54" s="81">
        <f>IFERROR(SUMIF($H$152:$Q$152,"O",H54:Q54)/COUNTIFS($H$152:$Q$152,"O",H54:Q54,"&lt;&gt;0"),0)</f>
        <v>0</v>
      </c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27">
        <f>G54</f>
        <v>0</v>
      </c>
      <c r="S54" s="27">
        <f t="shared" ref="S54:AU54" si="52">R54</f>
        <v>0</v>
      </c>
      <c r="T54" s="27">
        <f t="shared" si="52"/>
        <v>0</v>
      </c>
      <c r="U54" s="27">
        <f t="shared" si="52"/>
        <v>0</v>
      </c>
      <c r="V54" s="27">
        <f t="shared" si="52"/>
        <v>0</v>
      </c>
      <c r="W54" s="27">
        <f t="shared" si="52"/>
        <v>0</v>
      </c>
      <c r="X54" s="27">
        <f t="shared" si="52"/>
        <v>0</v>
      </c>
      <c r="Y54" s="27">
        <f t="shared" si="52"/>
        <v>0</v>
      </c>
      <c r="Z54" s="27">
        <f t="shared" si="52"/>
        <v>0</v>
      </c>
      <c r="AA54" s="27">
        <f t="shared" si="52"/>
        <v>0</v>
      </c>
      <c r="AB54" s="27">
        <f t="shared" si="52"/>
        <v>0</v>
      </c>
      <c r="AC54" s="27">
        <f t="shared" si="52"/>
        <v>0</v>
      </c>
      <c r="AD54" s="27">
        <f t="shared" si="52"/>
        <v>0</v>
      </c>
      <c r="AE54" s="27">
        <f t="shared" si="52"/>
        <v>0</v>
      </c>
      <c r="AF54" s="27">
        <f t="shared" si="52"/>
        <v>0</v>
      </c>
      <c r="AG54" s="27">
        <f t="shared" si="52"/>
        <v>0</v>
      </c>
      <c r="AH54" s="27">
        <f t="shared" si="52"/>
        <v>0</v>
      </c>
      <c r="AI54" s="27">
        <f t="shared" si="52"/>
        <v>0</v>
      </c>
      <c r="AJ54" s="27">
        <f t="shared" si="52"/>
        <v>0</v>
      </c>
      <c r="AK54" s="27">
        <f t="shared" si="52"/>
        <v>0</v>
      </c>
      <c r="AL54" s="27">
        <f t="shared" si="52"/>
        <v>0</v>
      </c>
      <c r="AM54" s="27">
        <f t="shared" si="52"/>
        <v>0</v>
      </c>
      <c r="AN54" s="27">
        <f t="shared" si="52"/>
        <v>0</v>
      </c>
      <c r="AO54" s="27">
        <f t="shared" si="52"/>
        <v>0</v>
      </c>
      <c r="AP54" s="27">
        <f t="shared" si="52"/>
        <v>0</v>
      </c>
      <c r="AQ54" s="27">
        <f t="shared" si="52"/>
        <v>0</v>
      </c>
      <c r="AR54" s="27">
        <f t="shared" si="52"/>
        <v>0</v>
      </c>
      <c r="AS54" s="27">
        <f t="shared" si="52"/>
        <v>0</v>
      </c>
      <c r="AT54" s="27">
        <f t="shared" si="52"/>
        <v>0</v>
      </c>
      <c r="AU54" s="27">
        <f t="shared" si="52"/>
        <v>0</v>
      </c>
    </row>
    <row r="58" spans="1:47" ht="22.75" customHeight="1">
      <c r="A58" s="62" t="s">
        <v>0</v>
      </c>
      <c r="B58" s="62" t="s">
        <v>1</v>
      </c>
      <c r="C58" s="64" t="s">
        <v>2</v>
      </c>
      <c r="D58" s="91" t="s">
        <v>3</v>
      </c>
      <c r="E58" s="91" t="s">
        <v>4</v>
      </c>
      <c r="F58" s="92" t="s">
        <v>5</v>
      </c>
      <c r="G58" s="92" t="s">
        <v>6</v>
      </c>
      <c r="H58" s="34">
        <f t="shared" ref="H58:P58" si="53">I58-1</f>
        <v>2015</v>
      </c>
      <c r="I58" s="34">
        <f t="shared" si="53"/>
        <v>2016</v>
      </c>
      <c r="J58" s="34">
        <f t="shared" si="53"/>
        <v>2017</v>
      </c>
      <c r="K58" s="34">
        <f t="shared" si="53"/>
        <v>2018</v>
      </c>
      <c r="L58" s="34">
        <f t="shared" si="53"/>
        <v>2019</v>
      </c>
      <c r="M58" s="34">
        <f t="shared" si="53"/>
        <v>2020</v>
      </c>
      <c r="N58" s="34">
        <f t="shared" si="53"/>
        <v>2021</v>
      </c>
      <c r="O58" s="34">
        <f t="shared" si="53"/>
        <v>2022</v>
      </c>
      <c r="P58" s="34">
        <f t="shared" si="53"/>
        <v>2023</v>
      </c>
      <c r="Q58" s="34">
        <f>ref!B4</f>
        <v>2024</v>
      </c>
      <c r="R58" s="35">
        <f t="shared" ref="R58:AU58" si="54">Q58+1</f>
        <v>2025</v>
      </c>
      <c r="S58" s="35">
        <f t="shared" si="54"/>
        <v>2026</v>
      </c>
      <c r="T58" s="35">
        <f t="shared" si="54"/>
        <v>2027</v>
      </c>
      <c r="U58" s="35">
        <f t="shared" si="54"/>
        <v>2028</v>
      </c>
      <c r="V58" s="35">
        <f t="shared" si="54"/>
        <v>2029</v>
      </c>
      <c r="W58" s="35">
        <f t="shared" si="54"/>
        <v>2030</v>
      </c>
      <c r="X58" s="35">
        <f t="shared" si="54"/>
        <v>2031</v>
      </c>
      <c r="Y58" s="35">
        <f t="shared" si="54"/>
        <v>2032</v>
      </c>
      <c r="Z58" s="35">
        <f t="shared" si="54"/>
        <v>2033</v>
      </c>
      <c r="AA58" s="35">
        <f t="shared" si="54"/>
        <v>2034</v>
      </c>
      <c r="AB58" s="35">
        <f t="shared" si="54"/>
        <v>2035</v>
      </c>
      <c r="AC58" s="35">
        <f t="shared" si="54"/>
        <v>2036</v>
      </c>
      <c r="AD58" s="35">
        <f t="shared" si="54"/>
        <v>2037</v>
      </c>
      <c r="AE58" s="35">
        <f t="shared" si="54"/>
        <v>2038</v>
      </c>
      <c r="AF58" s="35">
        <f t="shared" si="54"/>
        <v>2039</v>
      </c>
      <c r="AG58" s="35">
        <f t="shared" si="54"/>
        <v>2040</v>
      </c>
      <c r="AH58" s="35">
        <f t="shared" si="54"/>
        <v>2041</v>
      </c>
      <c r="AI58" s="35">
        <f t="shared" si="54"/>
        <v>2042</v>
      </c>
      <c r="AJ58" s="35">
        <f t="shared" si="54"/>
        <v>2043</v>
      </c>
      <c r="AK58" s="35">
        <f t="shared" si="54"/>
        <v>2044</v>
      </c>
      <c r="AL58" s="35">
        <f t="shared" si="54"/>
        <v>2045</v>
      </c>
      <c r="AM58" s="35">
        <f t="shared" si="54"/>
        <v>2046</v>
      </c>
      <c r="AN58" s="35">
        <f t="shared" si="54"/>
        <v>2047</v>
      </c>
      <c r="AO58" s="35">
        <f t="shared" si="54"/>
        <v>2048</v>
      </c>
      <c r="AP58" s="35">
        <f t="shared" si="54"/>
        <v>2049</v>
      </c>
      <c r="AQ58" s="35">
        <f t="shared" si="54"/>
        <v>2050</v>
      </c>
      <c r="AR58" s="35">
        <f t="shared" si="54"/>
        <v>2051</v>
      </c>
      <c r="AS58" s="35">
        <f t="shared" si="54"/>
        <v>2052</v>
      </c>
      <c r="AT58" s="35">
        <f t="shared" si="54"/>
        <v>2053</v>
      </c>
      <c r="AU58" s="35">
        <f t="shared" si="54"/>
        <v>2054</v>
      </c>
    </row>
    <row r="59" spans="1:47">
      <c r="A59" s="122" t="s">
        <v>72</v>
      </c>
      <c r="B59" s="124" t="s">
        <v>73</v>
      </c>
      <c r="C59" s="6" t="s">
        <v>74</v>
      </c>
      <c r="D59" s="93" t="s">
        <v>75</v>
      </c>
      <c r="E59" s="93"/>
      <c r="F59" s="94" t="s">
        <v>76</v>
      </c>
      <c r="G59" s="94"/>
      <c r="H59" s="30">
        <f>VLOOKUP($F59,raw_data!$1:$1048576,MATCH(H$1,raw_data!$1:$1,0),FALSE)</f>
        <v>7.8064012490241998E-4</v>
      </c>
      <c r="I59" s="30">
        <f>VLOOKUP($F59,raw_data!$1:$1048576,MATCH(I$1,raw_data!$1:$1,0),FALSE)</f>
        <v>6.5009687467207215E-4</v>
      </c>
      <c r="J59" s="30">
        <f>VLOOKUP($F59,raw_data!$1:$1048576,MATCH(J$1,raw_data!$1:$1,0),FALSE)</f>
        <v>6.6854612657053585E-4</v>
      </c>
      <c r="K59" s="30">
        <f>VLOOKUP($F59,raw_data!$1:$1048576,MATCH(K$1,raw_data!$1:$1,0),FALSE)</f>
        <v>5.8261479489158188E-4</v>
      </c>
      <c r="L59" s="30">
        <f>VLOOKUP($F59,raw_data!$1:$1048576,MATCH(L$1,raw_data!$1:$1,0),FALSE)</f>
        <v>8.178841488978146E-4</v>
      </c>
      <c r="M59" s="30">
        <f>VLOOKUP($F59,raw_data!$1:$1048576,MATCH(M$1,raw_data!$1:$1,0),FALSE)</f>
        <v>0</v>
      </c>
      <c r="N59" s="30">
        <f>VLOOKUP($F59,raw_data!$1:$1048576,MATCH(N$1,raw_data!$1:$1,0),FALSE)</f>
        <v>7.0066375034129238E-4</v>
      </c>
      <c r="O59" s="30">
        <f>VLOOKUP($F59,raw_data!$1:$1048576,MATCH(O$1,raw_data!$1:$1,0),FALSE)</f>
        <v>4.856528065657597E-4</v>
      </c>
      <c r="P59" s="30">
        <f>VLOOKUP($F59,raw_data!$1:$1048576,MATCH(P$1,raw_data!$1:$1,0),FALSE)</f>
        <v>5.0653541676742278E-4</v>
      </c>
      <c r="Q59" s="30">
        <f>VLOOKUP($F59,raw_data!$1:$1048576,MATCH(Q$1,raw_data!$1:$1,0),FALSE)</f>
        <v>4.9144503353198705E-4</v>
      </c>
      <c r="R59" s="30">
        <f t="shared" ref="R59:AU59" si="55">0.0021*R20^(-0.183)*$G$63</f>
        <v>5.814274871000424E-4</v>
      </c>
      <c r="S59" s="30">
        <f t="shared" si="55"/>
        <v>5.7101868900905355E-4</v>
      </c>
      <c r="T59" s="30">
        <f t="shared" si="55"/>
        <v>5.60428708123935E-4</v>
      </c>
      <c r="U59" s="30">
        <f t="shared" si="55"/>
        <v>5.505155393247949E-4</v>
      </c>
      <c r="V59" s="30">
        <f t="shared" si="55"/>
        <v>5.408802238692596E-4</v>
      </c>
      <c r="W59" s="30">
        <f t="shared" si="55"/>
        <v>5.3100580821723985E-4</v>
      </c>
      <c r="X59" s="30">
        <f t="shared" si="55"/>
        <v>5.2311299929900807E-4</v>
      </c>
      <c r="Y59" s="30">
        <f t="shared" si="55"/>
        <v>5.1508797092650836E-4</v>
      </c>
      <c r="Z59" s="30">
        <f t="shared" si="55"/>
        <v>5.0666287744688778E-4</v>
      </c>
      <c r="AA59" s="30">
        <f t="shared" si="55"/>
        <v>4.9818354105069592E-4</v>
      </c>
      <c r="AB59" s="30">
        <f t="shared" si="55"/>
        <v>4.8965171452222287E-4</v>
      </c>
      <c r="AC59" s="30">
        <f t="shared" si="55"/>
        <v>4.8242798465806787E-4</v>
      </c>
      <c r="AD59" s="30">
        <f t="shared" si="55"/>
        <v>4.7581969617396016E-4</v>
      </c>
      <c r="AE59" s="30">
        <f t="shared" si="55"/>
        <v>4.6972042455728556E-4</v>
      </c>
      <c r="AF59" s="30">
        <f t="shared" si="55"/>
        <v>4.6407492779895504E-4</v>
      </c>
      <c r="AG59" s="30">
        <f t="shared" si="55"/>
        <v>4.5891144306647354E-4</v>
      </c>
      <c r="AH59" s="30">
        <f t="shared" si="55"/>
        <v>4.5402969261174351E-4</v>
      </c>
      <c r="AI59" s="30">
        <f t="shared" si="55"/>
        <v>4.4946987788930631E-4</v>
      </c>
      <c r="AJ59" s="30">
        <f t="shared" si="55"/>
        <v>4.4636871077278703E-4</v>
      </c>
      <c r="AK59" s="30">
        <f t="shared" si="55"/>
        <v>4.4321124131373277E-4</v>
      </c>
      <c r="AL59" s="30">
        <f t="shared" si="55"/>
        <v>4.4009088916537102E-4</v>
      </c>
      <c r="AM59" s="30">
        <f t="shared" si="55"/>
        <v>4.3700357255122013E-4</v>
      </c>
      <c r="AN59" s="30">
        <f t="shared" si="55"/>
        <v>4.339581722750147E-4</v>
      </c>
      <c r="AO59" s="30">
        <f t="shared" si="55"/>
        <v>4.3090722843806551E-4</v>
      </c>
      <c r="AP59" s="30">
        <f t="shared" si="55"/>
        <v>4.2785141339157545E-4</v>
      </c>
      <c r="AQ59" s="30">
        <f t="shared" si="55"/>
        <v>4.2486810043110187E-4</v>
      </c>
      <c r="AR59" s="30">
        <f t="shared" si="55"/>
        <v>4.218630285239836E-4</v>
      </c>
      <c r="AS59" s="30">
        <f t="shared" si="55"/>
        <v>4.188752239440613E-4</v>
      </c>
      <c r="AT59" s="30">
        <f t="shared" si="55"/>
        <v>4.1594808804094158E-4</v>
      </c>
      <c r="AU59" s="30">
        <f t="shared" si="55"/>
        <v>4.130134879666443E-4</v>
      </c>
    </row>
    <row r="60" spans="1:47">
      <c r="A60" s="119"/>
      <c r="B60" s="119"/>
      <c r="C60" s="6" t="s">
        <v>77</v>
      </c>
      <c r="D60" s="93" t="s">
        <v>78</v>
      </c>
      <c r="E60" s="93"/>
      <c r="F60" s="95" t="s">
        <v>79</v>
      </c>
      <c r="G60" s="95"/>
      <c r="H60" s="31">
        <f>VLOOKUP($F60,raw_data!$1:$1048576,MATCH(H$1,raw_data!$1:$1,0),FALSE)</f>
        <v>4</v>
      </c>
      <c r="I60" s="31">
        <f>VLOOKUP($F60,raw_data!$1:$1048576,MATCH(I$1,raw_data!$1:$1,0),FALSE)</f>
        <v>4.7</v>
      </c>
      <c r="J60" s="31">
        <f>VLOOKUP($F60,raw_data!$1:$1048576,MATCH(J$1,raw_data!$1:$1,0),FALSE)</f>
        <v>4.7</v>
      </c>
      <c r="K60" s="31">
        <f>VLOOKUP($F60,raw_data!$1:$1048576,MATCH(K$1,raw_data!$1:$1,0),FALSE)</f>
        <v>5.7666666666666666</v>
      </c>
      <c r="L60" s="31">
        <f>VLOOKUP($F60,raw_data!$1:$1048576,MATCH(L$1,raw_data!$1:$1,0),FALSE)</f>
        <v>4.1749999999999998</v>
      </c>
      <c r="M60" s="31">
        <f>VLOOKUP($F60,raw_data!$1:$1048576,MATCH(M$1,raw_data!$1:$1,0),FALSE)</f>
        <v>0</v>
      </c>
      <c r="N60" s="31">
        <f>VLOOKUP($F60,raw_data!$1:$1048576,MATCH(N$1,raw_data!$1:$1,0),FALSE)</f>
        <v>6.1749999999999998</v>
      </c>
      <c r="O60" s="31">
        <f>VLOOKUP($F60,raw_data!$1:$1048576,MATCH(O$1,raw_data!$1:$1,0),FALSE)</f>
        <v>6.2866666666666671</v>
      </c>
      <c r="P60" s="31">
        <f>VLOOKUP($F60,raw_data!$1:$1048576,MATCH(P$1,raw_data!$1:$1,0),FALSE)</f>
        <v>6.1333333333333337</v>
      </c>
      <c r="Q60" s="31">
        <f>VLOOKUP($F60,raw_data!$1:$1048576,MATCH(Q$1,raw_data!$1:$1,0),FALSE)</f>
        <v>6.8333333333333339</v>
      </c>
      <c r="R60" s="30" t="e">
        <f>0.0021*#REF!^(-0.183)*$G$63</f>
        <v>#REF!</v>
      </c>
      <c r="S60" s="31">
        <f t="shared" ref="S60:AU60" si="56">1/S59/S61</f>
        <v>5.9145817821646594</v>
      </c>
      <c r="T60" s="31">
        <f t="shared" si="56"/>
        <v>6.0263449861344718</v>
      </c>
      <c r="U60" s="31">
        <f t="shared" si="56"/>
        <v>6.1348617687173457</v>
      </c>
      <c r="V60" s="31">
        <f t="shared" si="56"/>
        <v>6.24414904861609</v>
      </c>
      <c r="W60" s="31">
        <f t="shared" si="56"/>
        <v>6.360263264590869</v>
      </c>
      <c r="X60" s="31">
        <f t="shared" si="56"/>
        <v>6.4562278892213705</v>
      </c>
      <c r="Y60" s="31">
        <f t="shared" si="56"/>
        <v>6.5568153906090076</v>
      </c>
      <c r="Z60" s="31">
        <f t="shared" si="56"/>
        <v>6.6658460400871444</v>
      </c>
      <c r="AA60" s="31">
        <f t="shared" si="56"/>
        <v>6.779302118583665</v>
      </c>
      <c r="AB60" s="31">
        <f t="shared" si="56"/>
        <v>6.8974265485497739</v>
      </c>
      <c r="AC60" s="31">
        <f t="shared" si="56"/>
        <v>7.0007065151543015</v>
      </c>
      <c r="AD60" s="31">
        <f t="shared" si="56"/>
        <v>7.0979338653810942</v>
      </c>
      <c r="AE60" s="31">
        <f t="shared" si="56"/>
        <v>7.1900998098425379</v>
      </c>
      <c r="AF60" s="31">
        <f t="shared" si="56"/>
        <v>7.2775677654182891</v>
      </c>
      <c r="AG60" s="31">
        <f t="shared" si="56"/>
        <v>7.3594519951843651</v>
      </c>
      <c r="AH60" s="31">
        <f t="shared" si="56"/>
        <v>7.4385811990859638</v>
      </c>
      <c r="AI60" s="31">
        <f t="shared" si="56"/>
        <v>7.514044658895366</v>
      </c>
      <c r="AJ60" s="31">
        <f t="shared" si="56"/>
        <v>7.5662488292277388</v>
      </c>
      <c r="AK60" s="31">
        <f t="shared" si="56"/>
        <v>7.6201513420048927</v>
      </c>
      <c r="AL60" s="31">
        <f t="shared" si="56"/>
        <v>7.6741800806046863</v>
      </c>
      <c r="AM60" s="31">
        <f t="shared" si="56"/>
        <v>7.7283961674996267</v>
      </c>
      <c r="AN60" s="31">
        <f t="shared" si="56"/>
        <v>7.7826319471825895</v>
      </c>
      <c r="AO60" s="31">
        <f t="shared" si="56"/>
        <v>7.8377351606064352</v>
      </c>
      <c r="AP60" s="31">
        <f t="shared" si="56"/>
        <v>7.8937141016231962</v>
      </c>
      <c r="AQ60" s="31">
        <f t="shared" si="56"/>
        <v>7.9491417027110414</v>
      </c>
      <c r="AR60" s="31">
        <f t="shared" si="56"/>
        <v>8.0057661063713894</v>
      </c>
      <c r="AS60" s="31">
        <f t="shared" si="56"/>
        <v>8.0628706169060056</v>
      </c>
      <c r="AT60" s="31">
        <f t="shared" si="56"/>
        <v>8.1196111543517056</v>
      </c>
      <c r="AU60" s="31">
        <f t="shared" si="56"/>
        <v>8.1773037290279831</v>
      </c>
    </row>
    <row r="61" spans="1:47">
      <c r="A61" s="119"/>
      <c r="B61" s="119"/>
      <c r="C61" s="6" t="s">
        <v>80</v>
      </c>
      <c r="D61" s="93" t="s">
        <v>78</v>
      </c>
      <c r="E61" s="93"/>
      <c r="F61" s="95" t="s">
        <v>81</v>
      </c>
      <c r="G61" s="95">
        <f>SUMIF($H$154:$Q$154,"O",H61:Q61)/COUNTIFS($H$154:$Q$154,"O",H61:Q61,"&lt;&gt;0")</f>
        <v>296.09129274892371</v>
      </c>
      <c r="H61" s="31">
        <f>VLOOKUP($F61,raw_data!$1:$1048576,MATCH(H$1,raw_data!$1:$1,0),FALSE)</f>
        <v>320.25</v>
      </c>
      <c r="I61" s="31">
        <f>VLOOKUP($F61,raw_data!$1:$1048576,MATCH(I$1,raw_data!$1:$1,0),FALSE)</f>
        <v>327.28346456692913</v>
      </c>
      <c r="J61" s="31">
        <f>VLOOKUP($F61,raw_data!$1:$1048576,MATCH(J$1,raw_data!$1:$1,0),FALSE)</f>
        <v>318.25172413793098</v>
      </c>
      <c r="K61" s="31">
        <f>VLOOKUP($F61,raw_data!$1:$1048576,MATCH(K$1,raw_data!$1:$1,0),FALSE)</f>
        <v>297.64160839160837</v>
      </c>
      <c r="L61" s="31">
        <f>VLOOKUP($F61,raw_data!$1:$1048576,MATCH(L$1,raw_data!$1:$1,0),FALSE)</f>
        <v>292.85438335809812</v>
      </c>
      <c r="M61" s="31">
        <f>VLOOKUP($F61,raw_data!$1:$1048576,MATCH(M$1,raw_data!$1:$1,0),FALSE)</f>
        <v>0</v>
      </c>
      <c r="N61" s="31">
        <f>VLOOKUP($F61,raw_data!$1:$1048576,MATCH(N$1,raw_data!$1:$1,0),FALSE)</f>
        <v>231.12844036697251</v>
      </c>
      <c r="O61" s="31">
        <f>VLOOKUP($F61,raw_data!$1:$1048576,MATCH(O$1,raw_data!$1:$1,0),FALSE)</f>
        <v>327.53194444444438</v>
      </c>
      <c r="P61" s="31">
        <f>VLOOKUP($F61,raw_data!$1:$1048576,MATCH(P$1,raw_data!$1:$1,0),FALSE)</f>
        <v>321.87972027972017</v>
      </c>
      <c r="Q61" s="31">
        <f>VLOOKUP($F61,raw_data!$1:$1048576,MATCH(Q$1,raw_data!$1:$1,0),FALSE)</f>
        <v>297.77788649706463</v>
      </c>
      <c r="R61" s="30" t="e">
        <f>0.0021*#REF!^(-0.183)*$G$63</f>
        <v>#REF!</v>
      </c>
      <c r="S61" s="2">
        <f t="shared" ref="S61:AU61" si="57">$G$61</f>
        <v>296.09129274892371</v>
      </c>
      <c r="T61" s="2">
        <f t="shared" si="57"/>
        <v>296.09129274892371</v>
      </c>
      <c r="U61" s="2">
        <f t="shared" si="57"/>
        <v>296.09129274892371</v>
      </c>
      <c r="V61" s="2">
        <f t="shared" si="57"/>
        <v>296.09129274892371</v>
      </c>
      <c r="W61" s="2">
        <f t="shared" si="57"/>
        <v>296.09129274892371</v>
      </c>
      <c r="X61" s="2">
        <f t="shared" si="57"/>
        <v>296.09129274892371</v>
      </c>
      <c r="Y61" s="2">
        <f t="shared" si="57"/>
        <v>296.09129274892371</v>
      </c>
      <c r="Z61" s="2">
        <f t="shared" si="57"/>
        <v>296.09129274892371</v>
      </c>
      <c r="AA61" s="2">
        <f t="shared" si="57"/>
        <v>296.09129274892371</v>
      </c>
      <c r="AB61" s="2">
        <f t="shared" si="57"/>
        <v>296.09129274892371</v>
      </c>
      <c r="AC61" s="2">
        <f t="shared" si="57"/>
        <v>296.09129274892371</v>
      </c>
      <c r="AD61" s="2">
        <f t="shared" si="57"/>
        <v>296.09129274892371</v>
      </c>
      <c r="AE61" s="2">
        <f t="shared" si="57"/>
        <v>296.09129274892371</v>
      </c>
      <c r="AF61" s="2">
        <f t="shared" si="57"/>
        <v>296.09129274892371</v>
      </c>
      <c r="AG61" s="2">
        <f t="shared" si="57"/>
        <v>296.09129274892371</v>
      </c>
      <c r="AH61" s="2">
        <f t="shared" si="57"/>
        <v>296.09129274892371</v>
      </c>
      <c r="AI61" s="2">
        <f t="shared" si="57"/>
        <v>296.09129274892371</v>
      </c>
      <c r="AJ61" s="2">
        <f t="shared" si="57"/>
        <v>296.09129274892371</v>
      </c>
      <c r="AK61" s="2">
        <f t="shared" si="57"/>
        <v>296.09129274892371</v>
      </c>
      <c r="AL61" s="2">
        <f t="shared" si="57"/>
        <v>296.09129274892371</v>
      </c>
      <c r="AM61" s="2">
        <f t="shared" si="57"/>
        <v>296.09129274892371</v>
      </c>
      <c r="AN61" s="2">
        <f t="shared" si="57"/>
        <v>296.09129274892371</v>
      </c>
      <c r="AO61" s="2">
        <f t="shared" si="57"/>
        <v>296.09129274892371</v>
      </c>
      <c r="AP61" s="2">
        <f t="shared" si="57"/>
        <v>296.09129274892371</v>
      </c>
      <c r="AQ61" s="2">
        <f t="shared" si="57"/>
        <v>296.09129274892371</v>
      </c>
      <c r="AR61" s="2">
        <f t="shared" si="57"/>
        <v>296.09129274892371</v>
      </c>
      <c r="AS61" s="2">
        <f t="shared" si="57"/>
        <v>296.09129274892371</v>
      </c>
      <c r="AT61" s="2">
        <f t="shared" si="57"/>
        <v>296.09129274892371</v>
      </c>
      <c r="AU61" s="2">
        <f t="shared" si="57"/>
        <v>296.09129274892371</v>
      </c>
    </row>
    <row r="62" spans="1:47">
      <c r="A62" s="119"/>
      <c r="B62" s="119"/>
      <c r="C62" s="6" t="s">
        <v>82</v>
      </c>
      <c r="D62" s="93" t="s">
        <v>75</v>
      </c>
      <c r="E62" s="93"/>
      <c r="F62" s="95" t="s">
        <v>83</v>
      </c>
      <c r="G62" s="95"/>
      <c r="H62" s="43">
        <f t="shared" ref="H62:Q62" si="58">0.0021*H20^(-0.183)</f>
        <v>4.9023248273792933E-4</v>
      </c>
      <c r="I62" s="43">
        <f t="shared" si="58"/>
        <v>4.9228523527670011E-4</v>
      </c>
      <c r="J62" s="43">
        <f t="shared" si="58"/>
        <v>4.8441801050451281E-4</v>
      </c>
      <c r="K62" s="43">
        <f t="shared" si="58"/>
        <v>4.9163777515094111E-4</v>
      </c>
      <c r="L62" s="43">
        <f t="shared" si="58"/>
        <v>4.7864180920702758E-4</v>
      </c>
      <c r="M62" s="43">
        <f t="shared" si="58"/>
        <v>5.9620366987717295E-4</v>
      </c>
      <c r="N62" s="43">
        <f t="shared" si="58"/>
        <v>5.0245683278157859E-4</v>
      </c>
      <c r="O62" s="43">
        <f t="shared" si="58"/>
        <v>4.6036462616571601E-4</v>
      </c>
      <c r="P62" s="43">
        <f t="shared" si="58"/>
        <v>4.6663900422924838E-4</v>
      </c>
      <c r="Q62" s="43">
        <f t="shared" si="58"/>
        <v>4.420616328496074E-4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</row>
    <row r="63" spans="1:47">
      <c r="A63" s="119"/>
      <c r="B63" s="119"/>
      <c r="C63" s="6" t="s">
        <v>84</v>
      </c>
      <c r="D63" s="93" t="s">
        <v>63</v>
      </c>
      <c r="E63" s="93"/>
      <c r="F63" s="96" t="s">
        <v>85</v>
      </c>
      <c r="G63" s="96">
        <f>SUMIF($H$153:$Q$153,"O",H63:Q63)/COUNTIFS($H$153:$Q$153,"O",H63:Q63,"&lt;&gt;0")</f>
        <v>1.3351736037114328</v>
      </c>
      <c r="H63" s="44">
        <f t="shared" ref="H63:Q63" si="59">H59/H62</f>
        <v>1.5923875964778491</v>
      </c>
      <c r="I63" s="44">
        <f t="shared" si="59"/>
        <v>1.3205695155709278</v>
      </c>
      <c r="J63" s="44">
        <f t="shared" si="59"/>
        <v>1.3801017139603395</v>
      </c>
      <c r="K63" s="44">
        <f t="shared" si="59"/>
        <v>1.185048880169367</v>
      </c>
      <c r="L63" s="44">
        <f t="shared" si="59"/>
        <v>1.7087603572550722</v>
      </c>
      <c r="M63" s="44">
        <f t="shared" si="59"/>
        <v>0</v>
      </c>
      <c r="N63" s="44">
        <f t="shared" si="59"/>
        <v>1.394475514368964</v>
      </c>
      <c r="O63" s="44">
        <f t="shared" si="59"/>
        <v>1.0549307634921123</v>
      </c>
      <c r="P63" s="44">
        <f t="shared" si="59"/>
        <v>1.0854973805802446</v>
      </c>
      <c r="Q63" s="44">
        <f t="shared" si="59"/>
        <v>1.1117115737098593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</row>
    <row r="64" spans="1:47">
      <c r="A64" s="119"/>
      <c r="B64" s="119"/>
      <c r="C64" s="5" t="s">
        <v>86</v>
      </c>
      <c r="D64" s="97" t="s">
        <v>9</v>
      </c>
      <c r="E64" s="97"/>
      <c r="F64" s="95" t="s">
        <v>87</v>
      </c>
      <c r="G64" s="95"/>
      <c r="H64" s="31">
        <f>VLOOKUP($F64,raw_data!$1:$1048576,MATCH(H$1,raw_data!$1:$1,0),FALSE)</f>
        <v>2.2131147540983611</v>
      </c>
      <c r="I64" s="31">
        <f>VLOOKUP($F64,raw_data!$1:$1048576,MATCH(I$1,raw_data!$1:$1,0),FALSE)</f>
        <v>1.801418439716312</v>
      </c>
      <c r="J64" s="31">
        <f>VLOOKUP($F64,raw_data!$1:$1048576,MATCH(J$1,raw_data!$1:$1,0),FALSE)</f>
        <v>2.0230205790024409</v>
      </c>
      <c r="K64" s="31">
        <f>VLOOKUP($F64,raw_data!$1:$1048576,MATCH(K$1,raw_data!$1:$1,0),FALSE)</f>
        <v>1.6260778925424051</v>
      </c>
      <c r="L64" s="31">
        <f>VLOOKUP($F64,raw_data!$1:$1048576,MATCH(L$1,raw_data!$1:$1,0),FALSE)</f>
        <v>2.6425836850888391</v>
      </c>
      <c r="M64" s="31">
        <f>VLOOKUP($F64,raw_data!$1:$1048576,MATCH(M$1,raw_data!$1:$1,0),FALSE)</f>
        <v>0</v>
      </c>
      <c r="N64" s="31">
        <f>VLOOKUP($F64,raw_data!$1:$1048576,MATCH(N$1,raw_data!$1:$1,0),FALSE)</f>
        <v>1.736244773345722</v>
      </c>
      <c r="O64" s="31">
        <f>VLOOKUP($F64,raw_data!$1:$1048576,MATCH(O$1,raw_data!$1:$1,0),FALSE)</f>
        <v>1.941154267843342</v>
      </c>
      <c r="P64" s="31">
        <f>VLOOKUP($F64,raw_data!$1:$1048576,MATCH(P$1,raw_data!$1:$1,0),FALSE)</f>
        <v>1.8802594670406729</v>
      </c>
      <c r="Q64" s="31">
        <f>VLOOKUP($F64,raw_data!$1:$1048576,MATCH(Q$1,raw_data!$1:$1,0),FALSE)</f>
        <v>2.451819272291083</v>
      </c>
      <c r="R64" s="41">
        <f t="shared" ref="R64:AU64" si="60">R20*R59</f>
        <v>3.1489430910106209</v>
      </c>
      <c r="S64" s="41">
        <f t="shared" si="60"/>
        <v>3.413419938996745</v>
      </c>
      <c r="T64" s="41">
        <f t="shared" si="60"/>
        <v>3.7109552809640856</v>
      </c>
      <c r="U64" s="41">
        <f t="shared" si="60"/>
        <v>4.0187314222771917</v>
      </c>
      <c r="V64" s="41">
        <f t="shared" si="60"/>
        <v>4.3483527001303797</v>
      </c>
      <c r="W64" s="41">
        <f t="shared" si="60"/>
        <v>4.7211607221582268</v>
      </c>
      <c r="X64" s="41">
        <f t="shared" si="60"/>
        <v>5.04759723390326</v>
      </c>
      <c r="Y64" s="41">
        <f t="shared" si="60"/>
        <v>5.4082864412783271</v>
      </c>
      <c r="Z64" s="41">
        <f t="shared" si="60"/>
        <v>5.8215111956943728</v>
      </c>
      <c r="AA64" s="41">
        <f t="shared" si="60"/>
        <v>6.2771005735436649</v>
      </c>
      <c r="AB64" s="41">
        <f t="shared" si="60"/>
        <v>6.78034902151445</v>
      </c>
      <c r="AC64" s="41">
        <f t="shared" si="60"/>
        <v>7.2455160641724756</v>
      </c>
      <c r="AD64" s="41">
        <f t="shared" si="60"/>
        <v>7.7056966490662013</v>
      </c>
      <c r="AE64" s="41">
        <f t="shared" si="60"/>
        <v>8.1625576794713801</v>
      </c>
      <c r="AF64" s="41">
        <f t="shared" si="60"/>
        <v>8.6153071538202024</v>
      </c>
      <c r="AG64" s="41">
        <f t="shared" si="60"/>
        <v>9.0565889005950115</v>
      </c>
      <c r="AH64" s="41">
        <f t="shared" si="60"/>
        <v>9.4994950815063639</v>
      </c>
      <c r="AI64" s="41">
        <f t="shared" si="60"/>
        <v>9.9373664574689098</v>
      </c>
      <c r="AJ64" s="41">
        <f t="shared" si="60"/>
        <v>10.24932630768927</v>
      </c>
      <c r="AK64" s="41">
        <f t="shared" si="60"/>
        <v>10.579355532552809</v>
      </c>
      <c r="AL64" s="41">
        <f t="shared" si="60"/>
        <v>10.918374267474926</v>
      </c>
      <c r="AM64" s="41">
        <f t="shared" si="60"/>
        <v>11.266982982622</v>
      </c>
      <c r="AN64" s="41">
        <f t="shared" si="60"/>
        <v>11.624299329667014</v>
      </c>
      <c r="AO64" s="41">
        <f t="shared" si="60"/>
        <v>11.996273669574405</v>
      </c>
      <c r="AP64" s="41">
        <f t="shared" si="60"/>
        <v>12.383551645721987</v>
      </c>
      <c r="AQ64" s="41">
        <f t="shared" si="60"/>
        <v>12.776505597874783</v>
      </c>
      <c r="AR64" s="41">
        <f t="shared" si="60"/>
        <v>13.187867081004851</v>
      </c>
      <c r="AS64" s="41">
        <f t="shared" si="60"/>
        <v>13.61305157481935</v>
      </c>
      <c r="AT64" s="41">
        <f t="shared" si="60"/>
        <v>14.045986544258865</v>
      </c>
      <c r="AU64" s="41">
        <f t="shared" si="60"/>
        <v>14.497064433060698</v>
      </c>
    </row>
    <row r="65" spans="1:47">
      <c r="A65" s="119"/>
      <c r="B65" s="119"/>
      <c r="C65" s="5" t="s">
        <v>88</v>
      </c>
      <c r="D65" s="97" t="s">
        <v>9</v>
      </c>
      <c r="E65" s="97"/>
      <c r="F65" s="95" t="s">
        <v>89</v>
      </c>
      <c r="G65" s="95"/>
      <c r="H65" s="31">
        <f>MIN(VLOOKUP($F65,raw_data!$1:$1048576,MATCH(H$1,raw_data!$1:$1,0),FALSE),H64)</f>
        <v>1.3689369612979549</v>
      </c>
      <c r="I65" s="31">
        <f>MIN(VLOOKUP($F65,raw_data!$1:$1048576,MATCH(I$1,raw_data!$1:$1,0),FALSE),I64)</f>
        <v>1.0625</v>
      </c>
      <c r="J65" s="31">
        <f>MIN(VLOOKUP($F65,raw_data!$1:$1048576,MATCH(J$1,raw_data!$1:$1,0),FALSE),J64)</f>
        <v>1.564095673206128</v>
      </c>
      <c r="K65" s="31">
        <f>MIN(VLOOKUP($F65,raw_data!$1:$1048576,MATCH(K$1,raw_data!$1:$1,0),FALSE),K64)</f>
        <v>1.3255269320843091</v>
      </c>
      <c r="L65" s="31">
        <f>MIN(VLOOKUP($F65,raw_data!$1:$1048576,MATCH(L$1,raw_data!$1:$1,0),FALSE),L64)</f>
        <v>1.8945603576751111</v>
      </c>
      <c r="M65" s="31">
        <f>MIN(VLOOKUP($F65,raw_data!$1:$1048576,MATCH(M$1,raw_data!$1:$1,0),FALSE),M64)</f>
        <v>0</v>
      </c>
      <c r="N65" s="31">
        <f>MIN(VLOOKUP($F65,raw_data!$1:$1048576,MATCH(N$1,raw_data!$1:$1,0),FALSE),N64)</f>
        <v>1.1147540983606561</v>
      </c>
      <c r="O65" s="31">
        <f>MIN(VLOOKUP($F65,raw_data!$1:$1048576,MATCH(O$1,raw_data!$1:$1,0),FALSE),O64)</f>
        <v>1.4598141060688901</v>
      </c>
      <c r="P65" s="31">
        <f>MIN(VLOOKUP($F65,raw_data!$1:$1048576,MATCH(P$1,raw_data!$1:$1,0),FALSE),P64)</f>
        <v>1.030444964871194</v>
      </c>
      <c r="Q65" s="31">
        <f>MIN(VLOOKUP($F65,raw_data!$1:$1048576,MATCH(Q$1,raw_data!$1:$1,0),FALSE),Q64)</f>
        <v>1.6404227782571179</v>
      </c>
      <c r="R65" s="41">
        <f t="shared" ref="R65:AU65" si="61">R64*R89</f>
        <v>2.1472871006737773</v>
      </c>
      <c r="S65" s="41">
        <f t="shared" si="61"/>
        <v>2.3276357788473163</v>
      </c>
      <c r="T65" s="41">
        <f t="shared" si="61"/>
        <v>2.5305272835000681</v>
      </c>
      <c r="U65" s="41">
        <f t="shared" si="61"/>
        <v>2.7404020633979411</v>
      </c>
      <c r="V65" s="41">
        <f t="shared" si="61"/>
        <v>2.9651732001207072</v>
      </c>
      <c r="W65" s="41">
        <f t="shared" si="61"/>
        <v>3.2193936904856764</v>
      </c>
      <c r="X65" s="41">
        <f t="shared" si="61"/>
        <v>3.4419931121329217</v>
      </c>
      <c r="Y65" s="41">
        <f t="shared" si="61"/>
        <v>3.6879496950129771</v>
      </c>
      <c r="Z65" s="41">
        <f t="shared" si="61"/>
        <v>3.9697306479205414</v>
      </c>
      <c r="AA65" s="41">
        <f t="shared" si="61"/>
        <v>4.2804003443823495</v>
      </c>
      <c r="AB65" s="41">
        <f t="shared" si="61"/>
        <v>4.6235691059413115</v>
      </c>
      <c r="AC65" s="41">
        <f t="shared" si="61"/>
        <v>4.9407698814045409</v>
      </c>
      <c r="AD65" s="41">
        <f t="shared" si="61"/>
        <v>5.2545703552027758</v>
      </c>
      <c r="AE65" s="41">
        <f t="shared" si="61"/>
        <v>5.5661072007526666</v>
      </c>
      <c r="AF65" s="41">
        <f t="shared" si="61"/>
        <v>5.8748403464488774</v>
      </c>
      <c r="AG65" s="41">
        <f t="shared" si="61"/>
        <v>6.1757535656548272</v>
      </c>
      <c r="AH65" s="41">
        <f t="shared" si="61"/>
        <v>6.4777744982638072</v>
      </c>
      <c r="AI65" s="41">
        <f t="shared" si="61"/>
        <v>6.7763621609125133</v>
      </c>
      <c r="AJ65" s="41">
        <f t="shared" si="61"/>
        <v>6.9890898422156758</v>
      </c>
      <c r="AK65" s="41">
        <f t="shared" si="61"/>
        <v>7.2141391609594461</v>
      </c>
      <c r="AL65" s="41">
        <f t="shared" si="61"/>
        <v>7.4453184917206672</v>
      </c>
      <c r="AM65" s="41">
        <f t="shared" si="61"/>
        <v>7.6830372994548286</v>
      </c>
      <c r="AN65" s="41">
        <f t="shared" si="61"/>
        <v>7.9266939044471378</v>
      </c>
      <c r="AO65" s="41">
        <f t="shared" si="61"/>
        <v>8.1803459009360413</v>
      </c>
      <c r="AP65" s="41">
        <f t="shared" si="61"/>
        <v>8.444433557817085</v>
      </c>
      <c r="AQ65" s="41">
        <f t="shared" si="61"/>
        <v>8.7123917038455918</v>
      </c>
      <c r="AR65" s="41">
        <f t="shared" si="61"/>
        <v>8.9929020785680969</v>
      </c>
      <c r="AS65" s="41">
        <f t="shared" si="61"/>
        <v>9.2828384643925119</v>
      </c>
      <c r="AT65" s="41">
        <f t="shared" si="61"/>
        <v>9.5780599556801516</v>
      </c>
      <c r="AU65" s="41">
        <f t="shared" si="61"/>
        <v>9.8856532350850443</v>
      </c>
    </row>
    <row r="66" spans="1:47">
      <c r="A66" s="120"/>
      <c r="B66" s="120"/>
      <c r="C66" s="32" t="s">
        <v>90</v>
      </c>
      <c r="D66" s="98" t="s">
        <v>9</v>
      </c>
      <c r="E66" s="98"/>
      <c r="F66" s="99" t="s">
        <v>91</v>
      </c>
      <c r="G66" s="99"/>
      <c r="H66" s="110">
        <f>MIN(VLOOKUP($F66,raw_data!$1:$1048576,MATCH(H$1,raw_data!$1:$1,0),FALSE),H64)</f>
        <v>1.5530629853321829</v>
      </c>
      <c r="I66" s="110">
        <f>MIN(VLOOKUP($F66,raw_data!$1:$1048576,MATCH(I$1,raw_data!$1:$1,0),FALSE),I64)</f>
        <v>1.0811965811965809</v>
      </c>
      <c r="J66" s="110">
        <f>MIN(VLOOKUP($F66,raw_data!$1:$1048576,MATCH(J$1,raw_data!$1:$1,0),FALSE),J64)</f>
        <v>1.2804607886575099</v>
      </c>
      <c r="K66" s="110">
        <f>MIN(VLOOKUP($F66,raw_data!$1:$1048576,MATCH(K$1,raw_data!$1:$1,0),FALSE),K64)</f>
        <v>0.87735276259866424</v>
      </c>
      <c r="L66" s="110">
        <f>MIN(VLOOKUP($F66,raw_data!$1:$1048576,MATCH(L$1,raw_data!$1:$1,0),FALSE),L64)</f>
        <v>1.5794451450189151</v>
      </c>
      <c r="M66" s="110">
        <f>MIN(VLOOKUP($F66,raw_data!$1:$1048576,MATCH(M$1,raw_data!$1:$1,0),FALSE),M64)</f>
        <v>0</v>
      </c>
      <c r="N66" s="110">
        <f>MIN(VLOOKUP($F66,raw_data!$1:$1048576,MATCH(N$1,raw_data!$1:$1,0),FALSE),N64)</f>
        <v>1.686910727936805</v>
      </c>
      <c r="O66" s="110">
        <f>MIN(VLOOKUP($F66,raw_data!$1:$1048576,MATCH(O$1,raw_data!$1:$1,0),FALSE),O64)</f>
        <v>1.3509835457132251</v>
      </c>
      <c r="P66" s="110">
        <f>MIN(VLOOKUP($F66,raw_data!$1:$1048576,MATCH(P$1,raw_data!$1:$1,0),FALSE),P64)</f>
        <v>1.443548387096774</v>
      </c>
      <c r="Q66" s="110">
        <f>MIN(VLOOKUP($F66,raw_data!$1:$1048576,MATCH(Q$1,raw_data!$1:$1,0),FALSE),Q64)</f>
        <v>1.6773423081098691</v>
      </c>
      <c r="R66" s="42">
        <f t="shared" ref="R66:AU66" si="62">R64*R90</f>
        <v>1.9670244183480117</v>
      </c>
      <c r="S66" s="42">
        <f t="shared" si="62"/>
        <v>2.1322329988274569</v>
      </c>
      <c r="T66" s="42">
        <f t="shared" si="62"/>
        <v>2.3180919572322756</v>
      </c>
      <c r="U66" s="42">
        <f t="shared" si="62"/>
        <v>2.5103479516565859</v>
      </c>
      <c r="V66" s="42">
        <f t="shared" si="62"/>
        <v>2.7162497681089777</v>
      </c>
      <c r="W66" s="42">
        <f t="shared" si="62"/>
        <v>2.9491286933516201</v>
      </c>
      <c r="X66" s="42">
        <f t="shared" si="62"/>
        <v>3.1530411081157594</v>
      </c>
      <c r="Y66" s="42">
        <f t="shared" si="62"/>
        <v>3.3783498729412442</v>
      </c>
      <c r="Z66" s="42">
        <f t="shared" si="62"/>
        <v>3.6364755864616352</v>
      </c>
      <c r="AA66" s="42">
        <f t="shared" si="62"/>
        <v>3.9210648613608283</v>
      </c>
      <c r="AB66" s="42">
        <f t="shared" si="62"/>
        <v>4.2354249361682053</v>
      </c>
      <c r="AC66" s="42">
        <f t="shared" si="62"/>
        <v>4.5259970122819757</v>
      </c>
      <c r="AD66" s="42">
        <f t="shared" si="62"/>
        <v>4.8134542387779673</v>
      </c>
      <c r="AE66" s="42">
        <f t="shared" si="62"/>
        <v>5.0988378664351455</v>
      </c>
      <c r="AF66" s="42">
        <f t="shared" si="62"/>
        <v>5.3816531621388677</v>
      </c>
      <c r="AG66" s="42">
        <f t="shared" si="62"/>
        <v>5.6573050066435373</v>
      </c>
      <c r="AH66" s="42">
        <f t="shared" si="62"/>
        <v>5.9339715730787805</v>
      </c>
      <c r="AI66" s="42">
        <f t="shared" si="62"/>
        <v>6.2074930892575768</v>
      </c>
      <c r="AJ66" s="42">
        <f t="shared" si="62"/>
        <v>6.4023624867641216</v>
      </c>
      <c r="AK66" s="42">
        <f t="shared" si="62"/>
        <v>6.6085191321249948</v>
      </c>
      <c r="AL66" s="42">
        <f t="shared" si="62"/>
        <v>6.8202911809031885</v>
      </c>
      <c r="AM66" s="42">
        <f t="shared" si="62"/>
        <v>7.0380537238658638</v>
      </c>
      <c r="AN66" s="42">
        <f t="shared" si="62"/>
        <v>7.2612555917303236</v>
      </c>
      <c r="AO66" s="42">
        <f t="shared" si="62"/>
        <v>7.4936137476098237</v>
      </c>
      <c r="AP66" s="42">
        <f t="shared" si="62"/>
        <v>7.7355315002505058</v>
      </c>
      <c r="AQ66" s="42">
        <f t="shared" si="62"/>
        <v>7.9809948182054953</v>
      </c>
      <c r="AR66" s="42">
        <f t="shared" si="62"/>
        <v>8.2379566173547474</v>
      </c>
      <c r="AS66" s="42">
        <f t="shared" si="62"/>
        <v>8.5035531230596639</v>
      </c>
      <c r="AT66" s="42">
        <f t="shared" si="62"/>
        <v>8.7739910547184934</v>
      </c>
      <c r="AU66" s="42">
        <f t="shared" si="62"/>
        <v>9.0557621748073327</v>
      </c>
    </row>
    <row r="67" spans="1:47">
      <c r="A67" s="122" t="s">
        <v>92</v>
      </c>
      <c r="B67" s="133" t="s">
        <v>93</v>
      </c>
      <c r="C67" s="6" t="s">
        <v>94</v>
      </c>
      <c r="D67" s="93" t="s">
        <v>75</v>
      </c>
      <c r="E67" s="93"/>
      <c r="F67" s="95" t="s">
        <v>95</v>
      </c>
      <c r="G67" s="95"/>
      <c r="H67" s="30">
        <f>VLOOKUP($F67,raw_data!$1:$1048576,MATCH(H$1,raw_data!$1:$1,0),FALSE)</f>
        <v>7.8065889765797111E-4</v>
      </c>
      <c r="I67" s="30">
        <f>VLOOKUP($F67,raw_data!$1:$1048576,MATCH(I$1,raw_data!$1:$1,0),FALSE)</f>
        <v>8.3982443960550106E-4</v>
      </c>
      <c r="J67" s="30">
        <f>VLOOKUP($F67,raw_data!$1:$1048576,MATCH(J$1,raw_data!$1:$1,0),FALSE)</f>
        <v>8.4228849298483629E-4</v>
      </c>
      <c r="K67" s="30">
        <f>VLOOKUP($F67,raw_data!$1:$1048576,MATCH(K$1,raw_data!$1:$1,0),FALSE)</f>
        <v>6.5342578204015628E-4</v>
      </c>
      <c r="L67" s="30">
        <f>VLOOKUP($F67,raw_data!$1:$1048576,MATCH(L$1,raw_data!$1:$1,0),FALSE)</f>
        <v>8.1497153672988856E-4</v>
      </c>
      <c r="M67" s="30">
        <f>VLOOKUP($F67,raw_data!$1:$1048576,MATCH(M$1,raw_data!$1:$1,0),FALSE)</f>
        <v>0</v>
      </c>
      <c r="N67" s="30">
        <f>VLOOKUP($F67,raw_data!$1:$1048576,MATCH(N$1,raw_data!$1:$1,0),FALSE)</f>
        <v>8.2709802385893508E-4</v>
      </c>
      <c r="O67" s="30">
        <f>VLOOKUP($F67,raw_data!$1:$1048576,MATCH(O$1,raw_data!$1:$1,0),FALSE)</f>
        <v>5.3325544159959874E-4</v>
      </c>
      <c r="P67" s="30">
        <f>VLOOKUP($F67,raw_data!$1:$1048576,MATCH(P$1,raw_data!$1:$1,0),FALSE)</f>
        <v>5.8339259480445077E-4</v>
      </c>
      <c r="Q67" s="30">
        <f>VLOOKUP($F67,raw_data!$1:$1048576,MATCH(Q$1,raw_data!$1:$1,0),FALSE)</f>
        <v>5.2856519359304583E-4</v>
      </c>
      <c r="R67" s="30">
        <f t="shared" ref="R67:AU67" si="63">0.0021*R20^(-0.183)*$G$70</f>
        <v>6.1364007235588424E-4</v>
      </c>
      <c r="S67" s="30">
        <f t="shared" si="63"/>
        <v>6.0265459995321275E-4</v>
      </c>
      <c r="T67" s="30">
        <f t="shared" si="63"/>
        <v>5.9147790676142102E-4</v>
      </c>
      <c r="U67" s="30">
        <f t="shared" si="63"/>
        <v>5.8101552279412553E-4</v>
      </c>
      <c r="V67" s="30">
        <f t="shared" si="63"/>
        <v>5.7084638596367309E-4</v>
      </c>
      <c r="W67" s="30">
        <f t="shared" si="63"/>
        <v>5.6042490216799061E-4</v>
      </c>
      <c r="X67" s="30">
        <f t="shared" si="63"/>
        <v>5.5209481123983056E-4</v>
      </c>
      <c r="Y67" s="30">
        <f t="shared" si="63"/>
        <v>5.4362517555796709E-4</v>
      </c>
      <c r="Z67" s="30">
        <f t="shared" si="63"/>
        <v>5.3473331012823745E-4</v>
      </c>
      <c r="AA67" s="30">
        <f t="shared" si="63"/>
        <v>5.2578419658418898E-4</v>
      </c>
      <c r="AB67" s="30">
        <f t="shared" si="63"/>
        <v>5.1677968481889081E-4</v>
      </c>
      <c r="AC67" s="30">
        <f t="shared" si="63"/>
        <v>5.0915574165337496E-4</v>
      </c>
      <c r="AD67" s="30">
        <f t="shared" si="63"/>
        <v>5.0218133691072705E-4</v>
      </c>
      <c r="AE67" s="30">
        <f t="shared" si="63"/>
        <v>4.9574414988532171E-4</v>
      </c>
      <c r="AF67" s="30">
        <f t="shared" si="63"/>
        <v>4.8978587801801535E-4</v>
      </c>
      <c r="AG67" s="30">
        <f t="shared" si="63"/>
        <v>4.8433632288836034E-4</v>
      </c>
      <c r="AH67" s="30">
        <f t="shared" si="63"/>
        <v>4.7918411084347558E-4</v>
      </c>
      <c r="AI67" s="30">
        <f t="shared" si="63"/>
        <v>4.7437167060236895E-4</v>
      </c>
      <c r="AJ67" s="30">
        <f t="shared" si="63"/>
        <v>4.710986908138486E-4</v>
      </c>
      <c r="AK67" s="30">
        <f t="shared" si="63"/>
        <v>4.6776628938752565E-4</v>
      </c>
      <c r="AL67" s="30">
        <f t="shared" si="63"/>
        <v>4.6447306166682266E-4</v>
      </c>
      <c r="AM67" s="30">
        <f t="shared" si="63"/>
        <v>4.6121469973429312E-4</v>
      </c>
      <c r="AN67" s="30">
        <f t="shared" si="63"/>
        <v>4.5800057641314754E-4</v>
      </c>
      <c r="AO67" s="30">
        <f t="shared" si="63"/>
        <v>4.5478060240366781E-4</v>
      </c>
      <c r="AP67" s="30">
        <f t="shared" si="63"/>
        <v>4.5155548730705091E-4</v>
      </c>
      <c r="AQ67" s="30">
        <f t="shared" si="63"/>
        <v>4.4840689109936898E-4</v>
      </c>
      <c r="AR67" s="30">
        <f t="shared" si="63"/>
        <v>4.4523533044317075E-4</v>
      </c>
      <c r="AS67" s="30">
        <f t="shared" si="63"/>
        <v>4.4208199376871574E-4</v>
      </c>
      <c r="AT67" s="30">
        <f t="shared" si="63"/>
        <v>4.389926869725326E-4</v>
      </c>
      <c r="AU67" s="30">
        <f t="shared" si="63"/>
        <v>4.3589550247080032E-4</v>
      </c>
    </row>
    <row r="68" spans="1:47">
      <c r="A68" s="119"/>
      <c r="B68" s="119"/>
      <c r="C68" s="6" t="s">
        <v>96</v>
      </c>
      <c r="D68" s="93" t="s">
        <v>78</v>
      </c>
      <c r="E68" s="93"/>
      <c r="F68" s="95" t="s">
        <v>97</v>
      </c>
      <c r="G68" s="95"/>
      <c r="H68" s="31">
        <f>VLOOKUP($F68,raw_data!$1:$1048576,MATCH(H$1,raw_data!$1:$1,0),FALSE)</f>
        <v>4.0320083200573249</v>
      </c>
      <c r="I68" s="31">
        <f>VLOOKUP($F68,raw_data!$1:$1048576,MATCH(I$1,raw_data!$1:$1,0),FALSE)</f>
        <v>4.0340253162659403</v>
      </c>
      <c r="J68" s="31">
        <f>VLOOKUP($F68,raw_data!$1:$1048576,MATCH(J$1,raw_data!$1:$1,0),FALSE)</f>
        <v>3.9576948118440241</v>
      </c>
      <c r="K68" s="31">
        <f>VLOOKUP($F68,raw_data!$1:$1048576,MATCH(K$1,raw_data!$1:$1,0),FALSE)</f>
        <v>5.1145108011808897</v>
      </c>
      <c r="L68" s="31">
        <f>VLOOKUP($F68,raw_data!$1:$1048576,MATCH(L$1,raw_data!$1:$1,0),FALSE)</f>
        <v>4.0511902567800506</v>
      </c>
      <c r="M68" s="31">
        <f>VLOOKUP($F68,raw_data!$1:$1048576,MATCH(M$1,raw_data!$1:$1,0),FALSE)</f>
        <v>0</v>
      </c>
      <c r="N68" s="31">
        <f>VLOOKUP($F68,raw_data!$1:$1048576,MATCH(N$1,raw_data!$1:$1,0),FALSE)</f>
        <v>5.3649116041052629</v>
      </c>
      <c r="O68" s="31">
        <f>VLOOKUP($F68,raw_data!$1:$1048576,MATCH(O$1,raw_data!$1:$1,0),FALSE)</f>
        <v>6.2373864683482312</v>
      </c>
      <c r="P68" s="31">
        <f>VLOOKUP($F68,raw_data!$1:$1048576,MATCH(P$1,raw_data!$1:$1,0),FALSE)</f>
        <v>5.2596695246645933</v>
      </c>
      <c r="Q68" s="31">
        <f>VLOOKUP($F68,raw_data!$1:$1048576,MATCH(Q$1,raw_data!$1:$1,0),FALSE)</f>
        <v>6.4933327039305064</v>
      </c>
      <c r="R68" s="31">
        <f t="shared" ref="R68:AU68" si="64">1/R67/R69</f>
        <v>5.4717555446842105</v>
      </c>
      <c r="S68" s="31">
        <f t="shared" si="64"/>
        <v>5.5714972865293069</v>
      </c>
      <c r="T68" s="31">
        <f t="shared" si="64"/>
        <v>5.6767774923976821</v>
      </c>
      <c r="U68" s="31">
        <f t="shared" si="64"/>
        <v>5.7789995905900753</v>
      </c>
      <c r="V68" s="31">
        <f t="shared" si="64"/>
        <v>5.8819474922057271</v>
      </c>
      <c r="W68" s="31">
        <f t="shared" si="64"/>
        <v>5.9913263228750013</v>
      </c>
      <c r="X68" s="31">
        <f t="shared" si="64"/>
        <v>6.0817243705178496</v>
      </c>
      <c r="Y68" s="31">
        <f t="shared" si="64"/>
        <v>6.1764771377768861</v>
      </c>
      <c r="Z68" s="31">
        <f t="shared" si="64"/>
        <v>6.2791832952177664</v>
      </c>
      <c r="AA68" s="31">
        <f t="shared" si="64"/>
        <v>6.3860581777986054</v>
      </c>
      <c r="AB68" s="31">
        <f t="shared" si="64"/>
        <v>6.4973306168768143</v>
      </c>
      <c r="AC68" s="31">
        <f t="shared" si="64"/>
        <v>6.5946196687291607</v>
      </c>
      <c r="AD68" s="31">
        <f t="shared" si="64"/>
        <v>6.6862071956103524</v>
      </c>
      <c r="AE68" s="31">
        <f t="shared" si="64"/>
        <v>6.7730269114228561</v>
      </c>
      <c r="AF68" s="31">
        <f t="shared" si="64"/>
        <v>6.8554211524862039</v>
      </c>
      <c r="AG68" s="31">
        <f t="shared" si="64"/>
        <v>6.9325555604213429</v>
      </c>
      <c r="AH68" s="31">
        <f t="shared" si="64"/>
        <v>7.0070947520430442</v>
      </c>
      <c r="AI68" s="31">
        <f t="shared" si="64"/>
        <v>7.078180836747805</v>
      </c>
      <c r="AJ68" s="31">
        <f t="shared" si="64"/>
        <v>7.1273568231597926</v>
      </c>
      <c r="AK68" s="31">
        <f t="shared" si="64"/>
        <v>7.1781326370272467</v>
      </c>
      <c r="AL68" s="31">
        <f t="shared" si="64"/>
        <v>7.2290273547925965</v>
      </c>
      <c r="AM68" s="31">
        <f t="shared" si="64"/>
        <v>7.2800985534244722</v>
      </c>
      <c r="AN68" s="31">
        <f t="shared" si="64"/>
        <v>7.3311883025336364</v>
      </c>
      <c r="AO68" s="31">
        <f t="shared" si="64"/>
        <v>7.3830951685432957</v>
      </c>
      <c r="AP68" s="31">
        <f t="shared" si="64"/>
        <v>7.4358269642077275</v>
      </c>
      <c r="AQ68" s="31">
        <f t="shared" si="64"/>
        <v>7.4880394012714913</v>
      </c>
      <c r="AR68" s="31">
        <f t="shared" si="64"/>
        <v>7.5413792185171173</v>
      </c>
      <c r="AS68" s="31">
        <f t="shared" si="64"/>
        <v>7.5951712932926494</v>
      </c>
      <c r="AT68" s="31">
        <f t="shared" si="64"/>
        <v>7.6486205078031695</v>
      </c>
      <c r="AU68" s="31">
        <f t="shared" si="64"/>
        <v>7.7029665351471568</v>
      </c>
    </row>
    <row r="69" spans="1:47">
      <c r="A69" s="119"/>
      <c r="B69" s="119"/>
      <c r="C69" s="6" t="s">
        <v>98</v>
      </c>
      <c r="D69" s="93" t="s">
        <v>78</v>
      </c>
      <c r="E69" s="93"/>
      <c r="F69" s="95" t="s">
        <v>99</v>
      </c>
      <c r="G69" s="95">
        <f>SUMIF($H$156:$Q$156,"O",H69:Q69)/COUNTIFS($H$156:$Q$156,"O",H69:Q69,"&lt;&gt;0")</f>
        <v>297.823937338147</v>
      </c>
      <c r="H69" s="31">
        <f>VLOOKUP($F69,raw_data!$1:$1048576,MATCH(H$1,raw_data!$1:$1,0),FALSE)</f>
        <v>317.70003772285179</v>
      </c>
      <c r="I69" s="31">
        <f>VLOOKUP($F69,raw_data!$1:$1048576,MATCH(I$1,raw_data!$1:$1,0),FALSE)</f>
        <v>295.17044619679677</v>
      </c>
      <c r="J69" s="31">
        <f>VLOOKUP($F69,raw_data!$1:$1048576,MATCH(J$1,raw_data!$1:$1,0),FALSE)</f>
        <v>299.98312906023472</v>
      </c>
      <c r="K69" s="31">
        <f>VLOOKUP($F69,raw_data!$1:$1048576,MATCH(K$1,raw_data!$1:$1,0),FALSE)</f>
        <v>299.22621119025609</v>
      </c>
      <c r="L69" s="31">
        <f>VLOOKUP($F69,raw_data!$1:$1048576,MATCH(L$1,raw_data!$1:$1,0),FALSE)</f>
        <v>302.88301476925261</v>
      </c>
      <c r="M69" s="31">
        <f>VLOOKUP($F69,raw_data!$1:$1048576,MATCH(M$1,raw_data!$1:$1,0),FALSE)</f>
        <v>0</v>
      </c>
      <c r="N69" s="31">
        <f>VLOOKUP($F69,raw_data!$1:$1048576,MATCH(N$1,raw_data!$1:$1,0),FALSE)</f>
        <v>225.361874416305</v>
      </c>
      <c r="O69" s="31">
        <f>VLOOKUP($F69,raw_data!$1:$1048576,MATCH(O$1,raw_data!$1:$1,0),FALSE)</f>
        <v>300.65058300325182</v>
      </c>
      <c r="P69" s="31">
        <f>VLOOKUP($F69,raw_data!$1:$1048576,MATCH(P$1,raw_data!$1:$1,0),FALSE)</f>
        <v>325.89720091319259</v>
      </c>
      <c r="Q69" s="31">
        <f>VLOOKUP($F69,raw_data!$1:$1048576,MATCH(Q$1,raw_data!$1:$1,0),FALSE)</f>
        <v>291.36258605493231</v>
      </c>
      <c r="R69" s="2">
        <f t="shared" ref="R69:AU69" si="65">$G$69</f>
        <v>297.823937338147</v>
      </c>
      <c r="S69" s="2">
        <f t="shared" si="65"/>
        <v>297.823937338147</v>
      </c>
      <c r="T69" s="2">
        <f t="shared" si="65"/>
        <v>297.823937338147</v>
      </c>
      <c r="U69" s="2">
        <f t="shared" si="65"/>
        <v>297.823937338147</v>
      </c>
      <c r="V69" s="2">
        <f t="shared" si="65"/>
        <v>297.823937338147</v>
      </c>
      <c r="W69" s="2">
        <f t="shared" si="65"/>
        <v>297.823937338147</v>
      </c>
      <c r="X69" s="2">
        <f t="shared" si="65"/>
        <v>297.823937338147</v>
      </c>
      <c r="Y69" s="2">
        <f t="shared" si="65"/>
        <v>297.823937338147</v>
      </c>
      <c r="Z69" s="2">
        <f t="shared" si="65"/>
        <v>297.823937338147</v>
      </c>
      <c r="AA69" s="2">
        <f t="shared" si="65"/>
        <v>297.823937338147</v>
      </c>
      <c r="AB69" s="2">
        <f t="shared" si="65"/>
        <v>297.823937338147</v>
      </c>
      <c r="AC69" s="2">
        <f t="shared" si="65"/>
        <v>297.823937338147</v>
      </c>
      <c r="AD69" s="2">
        <f t="shared" si="65"/>
        <v>297.823937338147</v>
      </c>
      <c r="AE69" s="2">
        <f t="shared" si="65"/>
        <v>297.823937338147</v>
      </c>
      <c r="AF69" s="2">
        <f t="shared" si="65"/>
        <v>297.823937338147</v>
      </c>
      <c r="AG69" s="2">
        <f t="shared" si="65"/>
        <v>297.823937338147</v>
      </c>
      <c r="AH69" s="2">
        <f t="shared" si="65"/>
        <v>297.823937338147</v>
      </c>
      <c r="AI69" s="2">
        <f t="shared" si="65"/>
        <v>297.823937338147</v>
      </c>
      <c r="AJ69" s="2">
        <f t="shared" si="65"/>
        <v>297.823937338147</v>
      </c>
      <c r="AK69" s="2">
        <f t="shared" si="65"/>
        <v>297.823937338147</v>
      </c>
      <c r="AL69" s="2">
        <f t="shared" si="65"/>
        <v>297.823937338147</v>
      </c>
      <c r="AM69" s="2">
        <f t="shared" si="65"/>
        <v>297.823937338147</v>
      </c>
      <c r="AN69" s="2">
        <f t="shared" si="65"/>
        <v>297.823937338147</v>
      </c>
      <c r="AO69" s="2">
        <f t="shared" si="65"/>
        <v>297.823937338147</v>
      </c>
      <c r="AP69" s="2">
        <f t="shared" si="65"/>
        <v>297.823937338147</v>
      </c>
      <c r="AQ69" s="2">
        <f t="shared" si="65"/>
        <v>297.823937338147</v>
      </c>
      <c r="AR69" s="2">
        <f t="shared" si="65"/>
        <v>297.823937338147</v>
      </c>
      <c r="AS69" s="2">
        <f t="shared" si="65"/>
        <v>297.823937338147</v>
      </c>
      <c r="AT69" s="2">
        <f t="shared" si="65"/>
        <v>297.823937338147</v>
      </c>
      <c r="AU69" s="2">
        <f t="shared" si="65"/>
        <v>297.823937338147</v>
      </c>
    </row>
    <row r="70" spans="1:47">
      <c r="A70" s="119"/>
      <c r="B70" s="119"/>
      <c r="C70" s="6" t="s">
        <v>100</v>
      </c>
      <c r="D70" s="93" t="s">
        <v>63</v>
      </c>
      <c r="E70" s="93"/>
      <c r="F70" s="96" t="s">
        <v>101</v>
      </c>
      <c r="G70" s="96">
        <f>SUMIF($H$155:$Q$155,"O",H70:Q70)/COUNTIFS($H$155:$Q$155,"O",H70:Q70,"&lt;&gt;0")</f>
        <v>1.4091456715877213</v>
      </c>
      <c r="H70" s="44">
        <f t="shared" ref="H70:Q70" si="66">H67/H62</f>
        <v>1.5924258900553092</v>
      </c>
      <c r="I70" s="44">
        <f t="shared" si="66"/>
        <v>1.7059712122657074</v>
      </c>
      <c r="J70" s="44">
        <f t="shared" si="66"/>
        <v>1.738763784004661</v>
      </c>
      <c r="K70" s="44">
        <f t="shared" si="66"/>
        <v>1.3290796905090205</v>
      </c>
      <c r="L70" s="44">
        <f t="shared" si="66"/>
        <v>1.7026751968869227</v>
      </c>
      <c r="M70" s="44">
        <f t="shared" si="66"/>
        <v>0</v>
      </c>
      <c r="N70" s="44">
        <f t="shared" si="66"/>
        <v>1.6461076253658595</v>
      </c>
      <c r="O70" s="44">
        <f t="shared" si="66"/>
        <v>1.1583327894694595</v>
      </c>
      <c r="P70" s="44">
        <f t="shared" si="66"/>
        <v>1.2502010966015267</v>
      </c>
      <c r="Q70" s="44">
        <f t="shared" si="66"/>
        <v>1.1956821273672207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</row>
    <row r="71" spans="1:47">
      <c r="A71" s="119"/>
      <c r="B71" s="119"/>
      <c r="C71" s="5" t="s">
        <v>102</v>
      </c>
      <c r="D71" s="97" t="s">
        <v>9</v>
      </c>
      <c r="E71" s="97"/>
      <c r="F71" s="100" t="s">
        <v>103</v>
      </c>
      <c r="G71" s="100"/>
      <c r="H71" s="2">
        <f>VLOOKUP($F71,raw_data!$1:$1048576,MATCH(H$1,raw_data!$1:$1,0),FALSE)</f>
        <v>247.89745229239111</v>
      </c>
      <c r="I71" s="2">
        <f>VLOOKUP($F71,raw_data!$1:$1048576,MATCH(I$1,raw_data!$1:$1,0),FALSE)</f>
        <v>248.91136653247639</v>
      </c>
      <c r="J71" s="2">
        <f>VLOOKUP($F71,raw_data!$1:$1048576,MATCH(J$1,raw_data!$1:$1,0),FALSE)</f>
        <v>253.1321185082399</v>
      </c>
      <c r="K71" s="2">
        <f>VLOOKUP($F71,raw_data!$1:$1048576,MATCH(K$1,raw_data!$1:$1,0),FALSE)</f>
        <v>235.7932674296647</v>
      </c>
      <c r="L71" s="2">
        <f>VLOOKUP($F71,raw_data!$1:$1048576,MATCH(L$1,raw_data!$1:$1,0),FALSE)</f>
        <v>348.46960453264938</v>
      </c>
      <c r="M71" s="2">
        <f>VLOOKUP($F71,raw_data!$1:$1048576,MATCH(M$1,raw_data!$1:$1,0),FALSE)</f>
        <v>0</v>
      </c>
      <c r="N71" s="2">
        <f>VLOOKUP($F71,raw_data!$1:$1048576,MATCH(N$1,raw_data!$1:$1,0),FALSE)</f>
        <v>278.11253762059079</v>
      </c>
      <c r="O71" s="2">
        <f>VLOOKUP($F71,raw_data!$1:$1048576,MATCH(O$1,raw_data!$1:$1,0),FALSE)</f>
        <v>268.23761897798857</v>
      </c>
      <c r="P71" s="2">
        <f>VLOOKUP($F71,raw_data!$1:$1048576,MATCH(P$1,raw_data!$1:$1,0),FALSE)</f>
        <v>288.0658452847573</v>
      </c>
      <c r="Q71" s="2">
        <f>VLOOKUP($F71,raw_data!$1:$1048576,MATCH(Q$1,raw_data!$1:$1,0),FALSE)</f>
        <v>317.94782090202477</v>
      </c>
      <c r="R71" s="2">
        <f t="shared" ref="R71:AU71" si="67">R2*R67</f>
        <v>423.81766122846773</v>
      </c>
      <c r="S71" s="2">
        <f t="shared" si="67"/>
        <v>459.41371867470821</v>
      </c>
      <c r="T71" s="2">
        <f t="shared" si="67"/>
        <v>499.45913363485585</v>
      </c>
      <c r="U71" s="2">
        <f t="shared" si="67"/>
        <v>540.8828623664474</v>
      </c>
      <c r="V71" s="2">
        <f t="shared" si="67"/>
        <v>585.24673781077684</v>
      </c>
      <c r="W71" s="2">
        <f t="shared" si="67"/>
        <v>635.4231364996283</v>
      </c>
      <c r="X71" s="2">
        <f t="shared" si="67"/>
        <v>679.3583728468044</v>
      </c>
      <c r="Y71" s="2">
        <f t="shared" si="67"/>
        <v>727.90369484276027</v>
      </c>
      <c r="Z71" s="2">
        <f t="shared" si="67"/>
        <v>783.51979964893178</v>
      </c>
      <c r="AA71" s="2">
        <f t="shared" si="67"/>
        <v>844.83777810075901</v>
      </c>
      <c r="AB71" s="2">
        <f t="shared" si="67"/>
        <v>912.57021214972826</v>
      </c>
      <c r="AC71" s="2">
        <f t="shared" si="67"/>
        <v>975.17725279860042</v>
      </c>
      <c r="AD71" s="2">
        <f t="shared" si="67"/>
        <v>1037.1131638632282</v>
      </c>
      <c r="AE71" s="2">
        <f t="shared" si="67"/>
        <v>1098.6022946022051</v>
      </c>
      <c r="AF71" s="2">
        <f t="shared" si="67"/>
        <v>1159.5380491697331</v>
      </c>
      <c r="AG71" s="2">
        <f t="shared" si="67"/>
        <v>1218.9303571459595</v>
      </c>
      <c r="AH71" s="2">
        <f t="shared" si="67"/>
        <v>1278.5412984403088</v>
      </c>
      <c r="AI71" s="2">
        <f t="shared" si="67"/>
        <v>1337.4746030811934</v>
      </c>
      <c r="AJ71" s="2">
        <f t="shared" si="67"/>
        <v>1379.461419068758</v>
      </c>
      <c r="AK71" s="2">
        <f t="shared" si="67"/>
        <v>1423.8802002839559</v>
      </c>
      <c r="AL71" s="2">
        <f t="shared" si="67"/>
        <v>1469.5088836849036</v>
      </c>
      <c r="AM71" s="2">
        <f t="shared" si="67"/>
        <v>1516.4282868202827</v>
      </c>
      <c r="AN71" s="2">
        <f t="shared" si="67"/>
        <v>1564.5196540335007</v>
      </c>
      <c r="AO71" s="2">
        <f t="shared" si="67"/>
        <v>1614.5838470723013</v>
      </c>
      <c r="AP71" s="2">
        <f t="shared" si="67"/>
        <v>1666.7077633681288</v>
      </c>
      <c r="AQ71" s="2">
        <f t="shared" si="67"/>
        <v>1719.5956118171246</v>
      </c>
      <c r="AR71" s="2">
        <f t="shared" si="67"/>
        <v>1774.9609381062403</v>
      </c>
      <c r="AS71" s="2">
        <f t="shared" si="67"/>
        <v>1832.1867095955677</v>
      </c>
      <c r="AT71" s="2">
        <f t="shared" si="67"/>
        <v>1890.455621071191</v>
      </c>
      <c r="AU71" s="2">
        <f t="shared" si="67"/>
        <v>1951.1663961911415</v>
      </c>
    </row>
    <row r="72" spans="1:47">
      <c r="A72" s="119"/>
      <c r="B72" s="119"/>
      <c r="C72" s="5" t="s">
        <v>104</v>
      </c>
      <c r="D72" s="97" t="s">
        <v>9</v>
      </c>
      <c r="E72" s="97"/>
      <c r="F72" s="100" t="s">
        <v>105</v>
      </c>
      <c r="G72" s="100"/>
      <c r="H72" s="2">
        <f>VLOOKUP($F72,raw_data!$1:$1048576,MATCH(H$1,raw_data!$1:$1,0),FALSE)</f>
        <v>128.37595995764951</v>
      </c>
      <c r="I72" s="2">
        <f>VLOOKUP($F72,raw_data!$1:$1048576,MATCH(I$1,raw_data!$1:$1,0),FALSE)</f>
        <v>165.10754266387769</v>
      </c>
      <c r="J72" s="2">
        <f>VLOOKUP($F72,raw_data!$1:$1048576,MATCH(J$1,raw_data!$1:$1,0),FALSE)</f>
        <v>179.26208535023869</v>
      </c>
      <c r="K72" s="2">
        <f>VLOOKUP($F72,raw_data!$1:$1048576,MATCH(K$1,raw_data!$1:$1,0),FALSE)</f>
        <v>145.0391112805334</v>
      </c>
      <c r="L72" s="2">
        <f>VLOOKUP($F72,raw_data!$1:$1048576,MATCH(L$1,raw_data!$1:$1,0),FALSE)</f>
        <v>224.31351242366119</v>
      </c>
      <c r="M72" s="2">
        <f>VLOOKUP($F72,raw_data!$1:$1048576,MATCH(M$1,raw_data!$1:$1,0),FALSE)</f>
        <v>0</v>
      </c>
      <c r="N72" s="2">
        <f>VLOOKUP($F72,raw_data!$1:$1048576,MATCH(N$1,raw_data!$1:$1,0),FALSE)</f>
        <v>169.83536095054561</v>
      </c>
      <c r="O72" s="2">
        <f>VLOOKUP($F72,raw_data!$1:$1048576,MATCH(O$1,raw_data!$1:$1,0),FALSE)</f>
        <v>171.18659172347739</v>
      </c>
      <c r="P72" s="2">
        <f>VLOOKUP($F72,raw_data!$1:$1048576,MATCH(P$1,raw_data!$1:$1,0),FALSE)</f>
        <v>133.13534580390129</v>
      </c>
      <c r="Q72" s="2">
        <f>VLOOKUP($F72,raw_data!$1:$1048576,MATCH(Q$1,raw_data!$1:$1,0),FALSE)</f>
        <v>175.5815149421926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</row>
    <row r="73" spans="1:47">
      <c r="A73" s="119"/>
      <c r="B73" s="119"/>
      <c r="C73" s="5" t="s">
        <v>106</v>
      </c>
      <c r="D73" s="97" t="s">
        <v>9</v>
      </c>
      <c r="E73" s="97"/>
      <c r="F73" s="100" t="s">
        <v>107</v>
      </c>
      <c r="G73" s="100"/>
      <c r="H73" s="2">
        <f>VLOOKUP($F73,raw_data!$1:$1048576,MATCH(H$1,raw_data!$1:$1,0),FALSE)</f>
        <v>170.1964729032255</v>
      </c>
      <c r="I73" s="2">
        <f>VLOOKUP($F73,raw_data!$1:$1048576,MATCH(I$1,raw_data!$1:$1,0),FALSE)</f>
        <v>260.24695586024148</v>
      </c>
      <c r="J73" s="2">
        <f>VLOOKUP($F73,raw_data!$1:$1048576,MATCH(J$1,raw_data!$1:$1,0),FALSE)</f>
        <v>160.19111061316099</v>
      </c>
      <c r="K73" s="2">
        <f>VLOOKUP($F73,raw_data!$1:$1048576,MATCH(K$1,raw_data!$1:$1,0),FALSE)</f>
        <v>137.48837303012439</v>
      </c>
      <c r="L73" s="2">
        <f>VLOOKUP($F73,raw_data!$1:$1048576,MATCH(L$1,raw_data!$1:$1,0),FALSE)</f>
        <v>201.73949643815999</v>
      </c>
      <c r="M73" s="2">
        <f>VLOOKUP($F73,raw_data!$1:$1048576,MATCH(M$1,raw_data!$1:$1,0),FALSE)</f>
        <v>0</v>
      </c>
      <c r="N73" s="2">
        <f>VLOOKUP($F73,raw_data!$1:$1048576,MATCH(N$1,raw_data!$1:$1,0),FALSE)</f>
        <v>301.18728942843768</v>
      </c>
      <c r="O73" s="2">
        <f>VLOOKUP($F73,raw_data!$1:$1048576,MATCH(O$1,raw_data!$1:$1,0),FALSE)</f>
        <v>217.68568701281791</v>
      </c>
      <c r="P73" s="2">
        <f>VLOOKUP($F73,raw_data!$1:$1048576,MATCH(P$1,raw_data!$1:$1,0),FALSE)</f>
        <v>218.11920536398881</v>
      </c>
      <c r="Q73" s="2">
        <f>VLOOKUP($F73,raw_data!$1:$1048576,MATCH(Q$1,raw_data!$1:$1,0),FALSE)</f>
        <v>263.86006781350522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</row>
    <row r="74" spans="1:47">
      <c r="A74" s="119"/>
      <c r="B74" s="119"/>
      <c r="C74" s="5" t="s">
        <v>108</v>
      </c>
      <c r="D74" s="97" t="s">
        <v>9</v>
      </c>
      <c r="E74" s="97"/>
      <c r="F74" s="100" t="s">
        <v>109</v>
      </c>
      <c r="G74" s="100"/>
      <c r="H74" s="2">
        <f>VLOOKUP($F74,raw_data!$1:$1048576,MATCH(H$1,raw_data!$1:$1,0),FALSE)</f>
        <v>296.28299904035742</v>
      </c>
      <c r="I74" s="2">
        <f>VLOOKUP($F74,raw_data!$1:$1048576,MATCH(I$1,raw_data!$1:$1,0),FALSE)</f>
        <v>322.04439897303467</v>
      </c>
      <c r="J74" s="2">
        <f>VLOOKUP($F74,raw_data!$1:$1048576,MATCH(J$1,raw_data!$1:$1,0),FALSE)</f>
        <v>314.45946209907851</v>
      </c>
      <c r="K74" s="2">
        <f>VLOOKUP($F74,raw_data!$1:$1048576,MATCH(K$1,raw_data!$1:$1,0),FALSE)</f>
        <v>298.06533403837062</v>
      </c>
      <c r="L74" s="2">
        <f>VLOOKUP($F74,raw_data!$1:$1048576,MATCH(L$1,raw_data!$1:$1,0),FALSE)</f>
        <v>455.96495866743862</v>
      </c>
      <c r="M74" s="2">
        <f>VLOOKUP($F74,raw_data!$1:$1048576,MATCH(M$1,raw_data!$1:$1,0),FALSE)</f>
        <v>0</v>
      </c>
      <c r="N74" s="2">
        <f>VLOOKUP($F74,raw_data!$1:$1048576,MATCH(N$1,raw_data!$1:$1,0),FALSE)</f>
        <v>344.43300576968932</v>
      </c>
      <c r="O74" s="2">
        <f>VLOOKUP($F74,raw_data!$1:$1048576,MATCH(O$1,raw_data!$1:$1,0),FALSE)</f>
        <v>311.5363503747156</v>
      </c>
      <c r="P74" s="2">
        <f>VLOOKUP($F74,raw_data!$1:$1048576,MATCH(P$1,raw_data!$1:$1,0),FALSE)</f>
        <v>388.82147029052987</v>
      </c>
      <c r="Q74" s="2">
        <f>VLOOKUP($F74,raw_data!$1:$1048576,MATCH(Q$1,raw_data!$1:$1,0),FALSE)</f>
        <v>395.26713893542711</v>
      </c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</row>
    <row r="75" spans="1:47">
      <c r="A75" s="119"/>
      <c r="B75" s="120"/>
      <c r="C75" s="32" t="s">
        <v>110</v>
      </c>
      <c r="D75" s="98" t="s">
        <v>63</v>
      </c>
      <c r="E75" s="98"/>
      <c r="F75" s="101" t="s">
        <v>111</v>
      </c>
      <c r="G75" s="101"/>
      <c r="H75" s="45">
        <f t="shared" ref="H75:Q75" si="68">H71/H74</f>
        <v>0.8366914507255423</v>
      </c>
      <c r="I75" s="45">
        <f t="shared" si="68"/>
        <v>0.77291009353439544</v>
      </c>
      <c r="J75" s="45">
        <f t="shared" si="68"/>
        <v>0.8049753593628044</v>
      </c>
      <c r="K75" s="45">
        <f t="shared" si="68"/>
        <v>0.7910791377011005</v>
      </c>
      <c r="L75" s="45">
        <f t="shared" si="68"/>
        <v>0.76424645777836675</v>
      </c>
      <c r="M75" s="45" t="e">
        <f t="shared" si="68"/>
        <v>#DIV/0!</v>
      </c>
      <c r="N75" s="45">
        <f t="shared" si="68"/>
        <v>0.80745031098022935</v>
      </c>
      <c r="O75" s="45">
        <f t="shared" si="68"/>
        <v>0.86101547589985128</v>
      </c>
      <c r="P75" s="45">
        <f t="shared" si="68"/>
        <v>0.7408691836629101</v>
      </c>
      <c r="Q75" s="45">
        <f t="shared" si="68"/>
        <v>0.80438718421762445</v>
      </c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</row>
    <row r="76" spans="1:47">
      <c r="A76" s="119"/>
      <c r="B76" s="121" t="s">
        <v>112</v>
      </c>
      <c r="C76" s="33" t="s">
        <v>113</v>
      </c>
      <c r="D76" s="102" t="s">
        <v>9</v>
      </c>
      <c r="E76" s="102"/>
      <c r="F76" s="103" t="s">
        <v>114</v>
      </c>
      <c r="G76" s="103"/>
      <c r="H76" s="16">
        <f>VLOOKUP($F76,raw_data!$1:$1048576,MATCH(H$1,raw_data!$1:$1,0),FALSE)</f>
        <v>215.18729578852381</v>
      </c>
      <c r="I76" s="16">
        <f>VLOOKUP($F76,raw_data!$1:$1048576,MATCH(I$1,raw_data!$1:$1,0),FALSE)</f>
        <v>234.5752471550218</v>
      </c>
      <c r="J76" s="16">
        <f>VLOOKUP($F76,raw_data!$1:$1048576,MATCH(J$1,raw_data!$1:$1,0),FALSE)</f>
        <v>244.0821772800349</v>
      </c>
      <c r="K76" s="16">
        <f>VLOOKUP($F76,raw_data!$1:$1048576,MATCH(K$1,raw_data!$1:$1,0),FALSE)</f>
        <v>229.0467917878573</v>
      </c>
      <c r="L76" s="16">
        <f>VLOOKUP($F76,raw_data!$1:$1048576,MATCH(L$1,raw_data!$1:$1,0),FALSE)</f>
        <v>336.95920219687918</v>
      </c>
      <c r="M76" s="16">
        <f>VLOOKUP($F76,raw_data!$1:$1048576,MATCH(M$1,raw_data!$1:$1,0),FALSE)</f>
        <v>0</v>
      </c>
      <c r="N76" s="16">
        <f>VLOOKUP($F76,raw_data!$1:$1048576,MATCH(N$1,raw_data!$1:$1,0),FALSE)</f>
        <v>270.33808191999822</v>
      </c>
      <c r="O76" s="16">
        <f>VLOOKUP($F76,raw_data!$1:$1048576,MATCH(O$1,raw_data!$1:$1,0),FALSE)</f>
        <v>240.1055697380194</v>
      </c>
      <c r="P76" s="16">
        <f>VLOOKUP($F76,raw_data!$1:$1048576,MATCH(P$1,raw_data!$1:$1,0),FALSE)</f>
        <v>281.94029699760893</v>
      </c>
      <c r="Q76" s="16">
        <f>VLOOKUP($F76,raw_data!$1:$1048576,MATCH(Q$1,raw_data!$1:$1,0),FALSE)</f>
        <v>307.81223249003187</v>
      </c>
      <c r="R76" s="51">
        <f t="shared" ref="R76:AU76" si="69">R71*R91</f>
        <v>399.82391076502574</v>
      </c>
      <c r="S76" s="51">
        <f t="shared" si="69"/>
        <v>433.40475507132339</v>
      </c>
      <c r="T76" s="51">
        <f t="shared" si="69"/>
        <v>471.18306372218296</v>
      </c>
      <c r="U76" s="51">
        <f t="shared" si="69"/>
        <v>510.26165514267194</v>
      </c>
      <c r="V76" s="51">
        <f t="shared" si="69"/>
        <v>552.11394163170144</v>
      </c>
      <c r="W76" s="51">
        <f t="shared" si="69"/>
        <v>599.44968477589055</v>
      </c>
      <c r="X76" s="51">
        <f t="shared" si="69"/>
        <v>640.8975988760161</v>
      </c>
      <c r="Y76" s="51">
        <f t="shared" si="69"/>
        <v>686.6946060925402</v>
      </c>
      <c r="Z76" s="51">
        <f t="shared" si="69"/>
        <v>739.16209520251834</v>
      </c>
      <c r="AA76" s="51">
        <f t="shared" si="69"/>
        <v>797.0086556166184</v>
      </c>
      <c r="AB76" s="51">
        <f t="shared" si="69"/>
        <v>860.90652761326101</v>
      </c>
      <c r="AC76" s="51">
        <f t="shared" si="69"/>
        <v>919.96917205592172</v>
      </c>
      <c r="AD76" s="51">
        <f t="shared" si="69"/>
        <v>978.39868182876967</v>
      </c>
      <c r="AE76" s="51">
        <f t="shared" si="69"/>
        <v>1036.4067050204853</v>
      </c>
      <c r="AF76" s="51">
        <f t="shared" si="69"/>
        <v>1093.8926805364351</v>
      </c>
      <c r="AG76" s="51">
        <f t="shared" si="69"/>
        <v>1149.9225891900405</v>
      </c>
      <c r="AH76" s="51">
        <f t="shared" si="69"/>
        <v>1206.1587535905678</v>
      </c>
      <c r="AI76" s="51">
        <f t="shared" si="69"/>
        <v>1261.7556446392471</v>
      </c>
      <c r="AJ76" s="51">
        <f t="shared" si="69"/>
        <v>1301.3654450427041</v>
      </c>
      <c r="AK76" s="51">
        <f t="shared" si="69"/>
        <v>1343.2695289013111</v>
      </c>
      <c r="AL76" s="51">
        <f t="shared" si="69"/>
        <v>1386.3150182930135</v>
      </c>
      <c r="AM76" s="51">
        <f t="shared" si="69"/>
        <v>1430.5781554118685</v>
      </c>
      <c r="AN76" s="51">
        <f t="shared" si="69"/>
        <v>1475.9469077604415</v>
      </c>
      <c r="AO76" s="51">
        <f t="shared" si="69"/>
        <v>1523.1767975957259</v>
      </c>
      <c r="AP76" s="51">
        <f t="shared" si="69"/>
        <v>1572.3498027918265</v>
      </c>
      <c r="AQ76" s="51">
        <f t="shared" si="69"/>
        <v>1622.2434913595296</v>
      </c>
      <c r="AR76" s="51">
        <f t="shared" si="69"/>
        <v>1674.4743993720272</v>
      </c>
      <c r="AS76" s="51">
        <f t="shared" si="69"/>
        <v>1728.4604264929558</v>
      </c>
      <c r="AT76" s="51">
        <f t="shared" si="69"/>
        <v>1783.4305379193549</v>
      </c>
      <c r="AU76" s="51">
        <f t="shared" si="69"/>
        <v>1840.704270834769</v>
      </c>
    </row>
    <row r="77" spans="1:47">
      <c r="A77" s="119"/>
      <c r="B77" s="119"/>
      <c r="C77" s="5" t="s">
        <v>115</v>
      </c>
      <c r="D77" s="97" t="s">
        <v>9</v>
      </c>
      <c r="E77" s="97"/>
      <c r="F77" s="100" t="s">
        <v>116</v>
      </c>
      <c r="G77" s="100"/>
      <c r="H77" s="2">
        <f>MIN(VLOOKUP($F77,raw_data!$1:$1048576,MATCH(H$1,raw_data!$1:$1,0),FALSE),H76)</f>
        <v>115.9135867974239</v>
      </c>
      <c r="I77" s="2">
        <f>MIN(VLOOKUP($F77,raw_data!$1:$1048576,MATCH(I$1,raw_data!$1:$1,0),FALSE),I76)</f>
        <v>153.28154372125709</v>
      </c>
      <c r="J77" s="2">
        <f>MIN(VLOOKUP($F77,raw_data!$1:$1048576,MATCH(J$1,raw_data!$1:$1,0),FALSE),J76)</f>
        <v>171.50127531243081</v>
      </c>
      <c r="K77" s="2">
        <f>MIN(VLOOKUP($F77,raw_data!$1:$1048576,MATCH(K$1,raw_data!$1:$1,0),FALSE),K76)</f>
        <v>141.0158266380985</v>
      </c>
      <c r="L77" s="2">
        <f>MIN(VLOOKUP($F77,raw_data!$1:$1048576,MATCH(L$1,raw_data!$1:$1,0),FALSE),L76)</f>
        <v>212.70444703409791</v>
      </c>
      <c r="M77" s="2">
        <f>MIN(VLOOKUP($F77,raw_data!$1:$1048576,MATCH(M$1,raw_data!$1:$1,0),FALSE),M76)</f>
        <v>0</v>
      </c>
      <c r="N77" s="2">
        <f>MIN(VLOOKUP($F77,raw_data!$1:$1048576,MATCH(N$1,raw_data!$1:$1,0),FALSE),N76)</f>
        <v>173.67666066383029</v>
      </c>
      <c r="O77" s="2">
        <f>MIN(VLOOKUP($F77,raw_data!$1:$1048576,MATCH(O$1,raw_data!$1:$1,0),FALSE),O76)</f>
        <v>165.6317217891017</v>
      </c>
      <c r="P77" s="2">
        <f>MIN(VLOOKUP($F77,raw_data!$1:$1048576,MATCH(P$1,raw_data!$1:$1,0),FALSE),P76)</f>
        <v>130.17350435162609</v>
      </c>
      <c r="Q77" s="2">
        <f>MIN(VLOOKUP($F77,raw_data!$1:$1048576,MATCH(Q$1,raw_data!$1:$1,0),FALSE),Q76)</f>
        <v>169.04498726870889</v>
      </c>
      <c r="R77" s="41">
        <f t="shared" ref="R77:AU77" si="70">R76*R92</f>
        <v>238.95072624666938</v>
      </c>
      <c r="S77" s="41">
        <f t="shared" si="70"/>
        <v>259.01997903250867</v>
      </c>
      <c r="T77" s="41">
        <f t="shared" si="70"/>
        <v>281.59780403357252</v>
      </c>
      <c r="U77" s="41">
        <f t="shared" si="70"/>
        <v>304.95272991270662</v>
      </c>
      <c r="V77" s="41">
        <f t="shared" si="70"/>
        <v>329.96532666436661</v>
      </c>
      <c r="W77" s="41">
        <f t="shared" si="70"/>
        <v>358.25505596066461</v>
      </c>
      <c r="X77" s="41">
        <f t="shared" si="70"/>
        <v>383.02598363401006</v>
      </c>
      <c r="Y77" s="41">
        <f t="shared" si="70"/>
        <v>410.39610292821021</v>
      </c>
      <c r="Z77" s="41">
        <f t="shared" si="70"/>
        <v>441.75276842422778</v>
      </c>
      <c r="AA77" s="41">
        <f t="shared" si="70"/>
        <v>476.32418161303139</v>
      </c>
      <c r="AB77" s="41">
        <f t="shared" si="70"/>
        <v>514.51210011445301</v>
      </c>
      <c r="AC77" s="41">
        <f t="shared" si="70"/>
        <v>549.81029365325003</v>
      </c>
      <c r="AD77" s="41">
        <f t="shared" si="70"/>
        <v>584.73010064464358</v>
      </c>
      <c r="AE77" s="41">
        <f t="shared" si="70"/>
        <v>619.39801043341106</v>
      </c>
      <c r="AF77" s="41">
        <f t="shared" si="70"/>
        <v>653.75392369595522</v>
      </c>
      <c r="AG77" s="41">
        <f t="shared" si="70"/>
        <v>687.23963328920127</v>
      </c>
      <c r="AH77" s="41">
        <f t="shared" si="70"/>
        <v>720.84860954857845</v>
      </c>
      <c r="AI77" s="41">
        <f t="shared" si="70"/>
        <v>754.07553053917002</v>
      </c>
      <c r="AJ77" s="41">
        <f t="shared" si="70"/>
        <v>777.74792810734368</v>
      </c>
      <c r="AK77" s="41">
        <f t="shared" si="70"/>
        <v>802.79148103432226</v>
      </c>
      <c r="AL77" s="41">
        <f t="shared" si="70"/>
        <v>828.51718346194787</v>
      </c>
      <c r="AM77" s="41">
        <f t="shared" si="70"/>
        <v>854.97060076825346</v>
      </c>
      <c r="AN77" s="41">
        <f t="shared" si="70"/>
        <v>882.08477786149876</v>
      </c>
      <c r="AO77" s="41">
        <f t="shared" si="70"/>
        <v>910.3112449957365</v>
      </c>
      <c r="AP77" s="41">
        <f t="shared" si="70"/>
        <v>939.69899542030987</v>
      </c>
      <c r="AQ77" s="41">
        <f t="shared" si="70"/>
        <v>969.51745499058893</v>
      </c>
      <c r="AR77" s="41">
        <f t="shared" si="70"/>
        <v>1000.7327301806815</v>
      </c>
      <c r="AS77" s="41">
        <f t="shared" si="70"/>
        <v>1032.9969345976592</v>
      </c>
      <c r="AT77" s="41">
        <f t="shared" si="70"/>
        <v>1065.8492670708863</v>
      </c>
      <c r="AU77" s="41">
        <f t="shared" si="70"/>
        <v>1100.0783356846412</v>
      </c>
    </row>
    <row r="78" spans="1:47">
      <c r="A78" s="119"/>
      <c r="B78" s="120"/>
      <c r="C78" s="32" t="s">
        <v>117</v>
      </c>
      <c r="D78" s="98" t="s">
        <v>9</v>
      </c>
      <c r="E78" s="98"/>
      <c r="F78" s="101" t="s">
        <v>118</v>
      </c>
      <c r="G78" s="101"/>
      <c r="H78" s="14">
        <f>MIN(VLOOKUP($F78,raw_data!$1:$1048576,MATCH(H$1,raw_data!$1:$1,0),FALSE),H76)</f>
        <v>152.37842388008431</v>
      </c>
      <c r="I78" s="14">
        <f>MIN(VLOOKUP($F78,raw_data!$1:$1048576,MATCH(I$1,raw_data!$1:$1,0),FALSE),I76)</f>
        <v>234.5752471550218</v>
      </c>
      <c r="J78" s="14">
        <f>MIN(VLOOKUP($F78,raw_data!$1:$1048576,MATCH(J$1,raw_data!$1:$1,0),FALSE),J76)</f>
        <v>154.69606599973341</v>
      </c>
      <c r="K78" s="14">
        <f>MIN(VLOOKUP($F78,raw_data!$1:$1048576,MATCH(K$1,raw_data!$1:$1,0),FALSE),K76)</f>
        <v>134.07816151960901</v>
      </c>
      <c r="L78" s="14">
        <f>MIN(VLOOKUP($F78,raw_data!$1:$1048576,MATCH(L$1,raw_data!$1:$1,0),FALSE),L76)</f>
        <v>195.55272823067219</v>
      </c>
      <c r="M78" s="14">
        <f>MIN(VLOOKUP($F78,raw_data!$1:$1048576,MATCH(M$1,raw_data!$1:$1,0),FALSE),M76)</f>
        <v>0</v>
      </c>
      <c r="N78" s="14">
        <f>MIN(VLOOKUP($F78,raw_data!$1:$1048576,MATCH(N$1,raw_data!$1:$1,0),FALSE),N76)</f>
        <v>270.33808191999822</v>
      </c>
      <c r="O78" s="14">
        <f>MIN(VLOOKUP($F78,raw_data!$1:$1048576,MATCH(O$1,raw_data!$1:$1,0),FALSE),O76)</f>
        <v>206.8847353821692</v>
      </c>
      <c r="P78" s="14">
        <f>MIN(VLOOKUP($F78,raw_data!$1:$1048576,MATCH(P$1,raw_data!$1:$1,0),FALSE),P76)</f>
        <v>215.57666682996401</v>
      </c>
      <c r="Q78" s="14">
        <f>MIN(VLOOKUP($F78,raw_data!$1:$1048576,MATCH(Q$1,raw_data!$1:$1,0),FALSE),Q76)</f>
        <v>255.08523381757041</v>
      </c>
      <c r="R78" s="42">
        <f t="shared" ref="R78:AU78" si="71">R76*R93</f>
        <v>296.07312115525133</v>
      </c>
      <c r="S78" s="42">
        <f t="shared" si="71"/>
        <v>320.94003160532986</v>
      </c>
      <c r="T78" s="42">
        <f t="shared" si="71"/>
        <v>348.91520130647331</v>
      </c>
      <c r="U78" s="42">
        <f t="shared" si="71"/>
        <v>377.85324183055468</v>
      </c>
      <c r="V78" s="42">
        <f t="shared" si="71"/>
        <v>408.84522793909196</v>
      </c>
      <c r="W78" s="42">
        <f t="shared" si="71"/>
        <v>443.89776191107791</v>
      </c>
      <c r="X78" s="42">
        <f t="shared" si="71"/>
        <v>474.59030671040807</v>
      </c>
      <c r="Y78" s="42">
        <f t="shared" si="71"/>
        <v>508.50339319946136</v>
      </c>
      <c r="Z78" s="42">
        <f t="shared" si="71"/>
        <v>547.35603017719268</v>
      </c>
      <c r="AA78" s="42">
        <f t="shared" si="71"/>
        <v>590.19191674817807</v>
      </c>
      <c r="AB78" s="42">
        <f t="shared" si="71"/>
        <v>637.50885274889401</v>
      </c>
      <c r="AC78" s="42">
        <f t="shared" si="71"/>
        <v>681.24526023478438</v>
      </c>
      <c r="AD78" s="42">
        <f t="shared" si="71"/>
        <v>724.51282593118697</v>
      </c>
      <c r="AE78" s="42">
        <f t="shared" si="71"/>
        <v>767.46827710857008</v>
      </c>
      <c r="AF78" s="42">
        <f t="shared" si="71"/>
        <v>810.03714739222903</v>
      </c>
      <c r="AG78" s="42">
        <f t="shared" si="71"/>
        <v>851.52778736264793</v>
      </c>
      <c r="AH78" s="42">
        <f t="shared" si="71"/>
        <v>893.17116152705375</v>
      </c>
      <c r="AI78" s="42">
        <f t="shared" si="71"/>
        <v>934.34114815395355</v>
      </c>
      <c r="AJ78" s="42">
        <f t="shared" si="71"/>
        <v>963.67255360028821</v>
      </c>
      <c r="AK78" s="42">
        <f t="shared" si="71"/>
        <v>994.70289611639771</v>
      </c>
      <c r="AL78" s="42">
        <f t="shared" si="71"/>
        <v>1026.5784594649501</v>
      </c>
      <c r="AM78" s="42">
        <f t="shared" si="71"/>
        <v>1059.3557016609629</v>
      </c>
      <c r="AN78" s="42">
        <f t="shared" si="71"/>
        <v>1092.9516616551011</v>
      </c>
      <c r="AO78" s="42">
        <f t="shared" si="71"/>
        <v>1127.9258103211857</v>
      </c>
      <c r="AP78" s="42">
        <f t="shared" si="71"/>
        <v>1164.3388529957369</v>
      </c>
      <c r="AQ78" s="42">
        <f t="shared" si="71"/>
        <v>1201.2855680431755</v>
      </c>
      <c r="AR78" s="42">
        <f t="shared" si="71"/>
        <v>1239.9630146382124</v>
      </c>
      <c r="AS78" s="42">
        <f t="shared" si="71"/>
        <v>1279.9401423639699</v>
      </c>
      <c r="AT78" s="42">
        <f t="shared" si="71"/>
        <v>1320.6459931699533</v>
      </c>
      <c r="AU78" s="42">
        <f t="shared" si="71"/>
        <v>1363.0576959418881</v>
      </c>
    </row>
    <row r="79" spans="1:47">
      <c r="A79" s="119"/>
      <c r="B79" s="121" t="s">
        <v>119</v>
      </c>
      <c r="C79" s="33" t="s">
        <v>120</v>
      </c>
      <c r="D79" s="102" t="s">
        <v>9</v>
      </c>
      <c r="E79" s="102"/>
      <c r="F79" s="103" t="s">
        <v>121</v>
      </c>
      <c r="G79" s="103"/>
      <c r="H79" s="16">
        <f>VLOOKUP($F79,raw_data!$1:$1048576,MATCH(H$1,raw_data!$1:$1,0),FALSE)</f>
        <v>22.215608198134511</v>
      </c>
      <c r="I79" s="16">
        <f>VLOOKUP($F79,raw_data!$1:$1048576,MATCH(I$1,raw_data!$1:$1,0),FALSE)</f>
        <v>17.694977643036609</v>
      </c>
      <c r="J79" s="16">
        <f>VLOOKUP($F79,raw_data!$1:$1048576,MATCH(J$1,raw_data!$1:$1,0),FALSE)</f>
        <v>10.21880034768769</v>
      </c>
      <c r="K79" s="16">
        <f>VLOOKUP($F79,raw_data!$1:$1048576,MATCH(K$1,raw_data!$1:$1,0),FALSE)</f>
        <v>8.3908842989334733</v>
      </c>
      <c r="L79" s="16">
        <f>VLOOKUP($F79,raw_data!$1:$1048576,MATCH(L$1,raw_data!$1:$1,0),FALSE)</f>
        <v>10.060752751249501</v>
      </c>
      <c r="M79" s="16">
        <f>VLOOKUP($F79,raw_data!$1:$1048576,MATCH(M$1,raw_data!$1:$1,0),FALSE)</f>
        <v>0</v>
      </c>
      <c r="N79" s="16">
        <f>VLOOKUP($F79,raw_data!$1:$1048576,MATCH(N$1,raw_data!$1:$1,0),FALSE)</f>
        <v>23.190612104969791</v>
      </c>
      <c r="O79" s="16">
        <f>VLOOKUP($F79,raw_data!$1:$1048576,MATCH(O$1,raw_data!$1:$1,0),FALSE)</f>
        <v>23.385157419774881</v>
      </c>
      <c r="P79" s="16">
        <f>VLOOKUP($F79,raw_data!$1:$1048576,MATCH(P$1,raw_data!$1:$1,0),FALSE)</f>
        <v>10.213245910452571</v>
      </c>
      <c r="Q79" s="16">
        <f>VLOOKUP($F79,raw_data!$1:$1048576,MATCH(Q$1,raw_data!$1:$1,0),FALSE)</f>
        <v>22.87025913493104</v>
      </c>
      <c r="R79" s="51">
        <f t="shared" ref="R79:AU79" si="72">R71*R94</f>
        <v>25.182691621107399</v>
      </c>
      <c r="S79" s="51">
        <f t="shared" si="72"/>
        <v>27.297762840644594</v>
      </c>
      <c r="T79" s="51">
        <f t="shared" si="72"/>
        <v>29.677209069613923</v>
      </c>
      <c r="U79" s="51">
        <f t="shared" si="72"/>
        <v>32.138552901818542</v>
      </c>
      <c r="V79" s="51">
        <f t="shared" si="72"/>
        <v>34.7745964097589</v>
      </c>
      <c r="W79" s="51">
        <f t="shared" si="72"/>
        <v>37.756012453574797</v>
      </c>
      <c r="X79" s="51">
        <f t="shared" si="72"/>
        <v>40.366586786471629</v>
      </c>
      <c r="Y79" s="51">
        <f t="shared" si="72"/>
        <v>43.251086384548799</v>
      </c>
      <c r="Z79" s="51">
        <f t="shared" si="72"/>
        <v>46.55572265770779</v>
      </c>
      <c r="AA79" s="51">
        <f t="shared" si="72"/>
        <v>50.199156812165235</v>
      </c>
      <c r="AB79" s="51">
        <f t="shared" si="72"/>
        <v>54.223729536336592</v>
      </c>
      <c r="AC79" s="51">
        <f t="shared" si="72"/>
        <v>57.943758082104949</v>
      </c>
      <c r="AD79" s="51">
        <f t="shared" si="72"/>
        <v>61.623908984952905</v>
      </c>
      <c r="AE79" s="51">
        <f t="shared" si="72"/>
        <v>65.277512784665447</v>
      </c>
      <c r="AF79" s="51">
        <f t="shared" si="72"/>
        <v>68.898235695375689</v>
      </c>
      <c r="AG79" s="51">
        <f t="shared" si="72"/>
        <v>72.427249026476304</v>
      </c>
      <c r="AH79" s="51">
        <f t="shared" si="72"/>
        <v>75.969253263648241</v>
      </c>
      <c r="AI79" s="51">
        <f t="shared" si="72"/>
        <v>79.470993216349598</v>
      </c>
      <c r="AJ79" s="51">
        <f t="shared" si="72"/>
        <v>81.965794957509317</v>
      </c>
      <c r="AK79" s="51">
        <f t="shared" si="72"/>
        <v>84.605100894608455</v>
      </c>
      <c r="AL79" s="51">
        <f t="shared" si="72"/>
        <v>87.31629763858696</v>
      </c>
      <c r="AM79" s="51">
        <f t="shared" si="72"/>
        <v>90.104187262581959</v>
      </c>
      <c r="AN79" s="51">
        <f t="shared" si="72"/>
        <v>92.961713460658572</v>
      </c>
      <c r="AO79" s="51">
        <f t="shared" si="72"/>
        <v>95.936462391369304</v>
      </c>
      <c r="AP79" s="51">
        <f t="shared" si="72"/>
        <v>99.03359738654035</v>
      </c>
      <c r="AQ79" s="51">
        <f t="shared" si="72"/>
        <v>102.17612423201072</v>
      </c>
      <c r="AR79" s="51">
        <f t="shared" si="72"/>
        <v>105.46585957338243</v>
      </c>
      <c r="AS79" s="51">
        <f t="shared" si="72"/>
        <v>108.86614013747821</v>
      </c>
      <c r="AT79" s="51">
        <f t="shared" si="72"/>
        <v>112.32840271647255</v>
      </c>
      <c r="AU79" s="51">
        <f t="shared" si="72"/>
        <v>115.93575764239186</v>
      </c>
    </row>
    <row r="80" spans="1:47">
      <c r="A80" s="119"/>
      <c r="B80" s="119"/>
      <c r="C80" s="5" t="s">
        <v>122</v>
      </c>
      <c r="D80" s="97" t="s">
        <v>9</v>
      </c>
      <c r="E80" s="97"/>
      <c r="F80" s="100" t="s">
        <v>123</v>
      </c>
      <c r="G80" s="100"/>
      <c r="H80" s="2">
        <f>VLOOKUP($F80,raw_data!$1:$1048576,MATCH(H$1,raw_data!$1:$1,0),FALSE)</f>
        <v>13.74872842430897</v>
      </c>
      <c r="I80" s="2">
        <f>VLOOKUP($F80,raw_data!$1:$1048576,MATCH(I$1,raw_data!$1:$1,0),FALSE)</f>
        <v>9.7666415864694525</v>
      </c>
      <c r="J80" s="2">
        <f>VLOOKUP($F80,raw_data!$1:$1048576,MATCH(J$1,raw_data!$1:$1,0),FALSE)</f>
        <v>7.4073281135307072</v>
      </c>
      <c r="K80" s="2">
        <f>VLOOKUP($F80,raw_data!$1:$1048576,MATCH(K$1,raw_data!$1:$1,0),FALSE)</f>
        <v>5.6022790834748397</v>
      </c>
      <c r="L80" s="2">
        <f>VLOOKUP($F80,raw_data!$1:$1048576,MATCH(L$1,raw_data!$1:$1,0),FALSE)</f>
        <v>11.388114453411591</v>
      </c>
      <c r="M80" s="2">
        <f>VLOOKUP($F80,raw_data!$1:$1048576,MATCH(M$1,raw_data!$1:$1,0),FALSE)</f>
        <v>0</v>
      </c>
      <c r="N80" s="2">
        <f>VLOOKUP($F80,raw_data!$1:$1048576,MATCH(N$1,raw_data!$1:$1,0),FALSE)</f>
        <v>20.127412386209318</v>
      </c>
      <c r="O80" s="2">
        <f>VLOOKUP($F80,raw_data!$1:$1048576,MATCH(O$1,raw_data!$1:$1,0),FALSE)</f>
        <v>18.747057128935161</v>
      </c>
      <c r="P80" s="2">
        <f>VLOOKUP($F80,raw_data!$1:$1048576,MATCH(P$1,raw_data!$1:$1,0),FALSE)</f>
        <v>7.7280748651681561</v>
      </c>
      <c r="Q80" s="2">
        <f>VLOOKUP($F80,raw_data!$1:$1048576,MATCH(Q$1,raw_data!$1:$1,0),FALSE)</f>
        <v>15.14567562499383</v>
      </c>
      <c r="R80" s="41">
        <f t="shared" ref="R80:AU80" si="73">R79*R95</f>
        <v>18.296039896197307</v>
      </c>
      <c r="S80" s="41">
        <f t="shared" si="73"/>
        <v>19.832707540712168</v>
      </c>
      <c r="T80" s="41">
        <f t="shared" si="73"/>
        <v>21.561452179732001</v>
      </c>
      <c r="U80" s="41">
        <f t="shared" si="73"/>
        <v>23.349698076152762</v>
      </c>
      <c r="V80" s="41">
        <f t="shared" si="73"/>
        <v>25.264868936957985</v>
      </c>
      <c r="W80" s="41">
        <f t="shared" si="73"/>
        <v>27.430964114770422</v>
      </c>
      <c r="X80" s="41">
        <f t="shared" si="73"/>
        <v>29.327630796207899</v>
      </c>
      <c r="Y80" s="41">
        <f t="shared" si="73"/>
        <v>31.42331304181625</v>
      </c>
      <c r="Z80" s="41">
        <f t="shared" si="73"/>
        <v>33.824238169512306</v>
      </c>
      <c r="AA80" s="41">
        <f t="shared" si="73"/>
        <v>36.471310915034415</v>
      </c>
      <c r="AB80" s="41">
        <f t="shared" si="73"/>
        <v>39.395293157856663</v>
      </c>
      <c r="AC80" s="41">
        <f t="shared" si="73"/>
        <v>42.098014205805455</v>
      </c>
      <c r="AD80" s="41">
        <f t="shared" si="73"/>
        <v>44.771762856489673</v>
      </c>
      <c r="AE80" s="41">
        <f t="shared" si="73"/>
        <v>47.426224178186118</v>
      </c>
      <c r="AF80" s="41">
        <f t="shared" si="73"/>
        <v>50.056796470621521</v>
      </c>
      <c r="AG80" s="41">
        <f t="shared" si="73"/>
        <v>52.620738787490893</v>
      </c>
      <c r="AH80" s="41">
        <f t="shared" si="73"/>
        <v>55.194119417759985</v>
      </c>
      <c r="AI80" s="41">
        <f t="shared" si="73"/>
        <v>57.738246743173931</v>
      </c>
      <c r="AJ80" s="41">
        <f t="shared" si="73"/>
        <v>59.550800892512854</v>
      </c>
      <c r="AK80" s="41">
        <f t="shared" si="73"/>
        <v>61.468342013612158</v>
      </c>
      <c r="AL80" s="41">
        <f t="shared" si="73"/>
        <v>63.438114130929996</v>
      </c>
      <c r="AM80" s="41">
        <f t="shared" si="73"/>
        <v>65.463606105904347</v>
      </c>
      <c r="AN80" s="41">
        <f t="shared" si="73"/>
        <v>67.539691304065542</v>
      </c>
      <c r="AO80" s="41">
        <f t="shared" si="73"/>
        <v>69.700942608585962</v>
      </c>
      <c r="AP80" s="41">
        <f t="shared" si="73"/>
        <v>71.951111347024664</v>
      </c>
      <c r="AQ80" s="41">
        <f t="shared" si="73"/>
        <v>74.234258732723731</v>
      </c>
      <c r="AR80" s="41">
        <f t="shared" si="73"/>
        <v>76.624357851565264</v>
      </c>
      <c r="AS80" s="41">
        <f t="shared" si="73"/>
        <v>79.094771649859041</v>
      </c>
      <c r="AT80" s="41">
        <f t="shared" si="73"/>
        <v>81.610217386537045</v>
      </c>
      <c r="AU80" s="41">
        <f t="shared" si="73"/>
        <v>84.231077405687813</v>
      </c>
    </row>
    <row r="81" spans="1:47">
      <c r="A81" s="119"/>
      <c r="B81" s="120"/>
      <c r="C81" s="32" t="s">
        <v>124</v>
      </c>
      <c r="D81" s="98" t="s">
        <v>9</v>
      </c>
      <c r="E81" s="98"/>
      <c r="F81" s="101" t="s">
        <v>125</v>
      </c>
      <c r="G81" s="101"/>
      <c r="H81" s="14">
        <f>VLOOKUP($F81,raw_data!$1:$1048576,MATCH(H$1,raw_data!$1:$1,0),FALSE)</f>
        <v>20.33980833162029</v>
      </c>
      <c r="I81" s="14">
        <f>VLOOKUP($F81,raw_data!$1:$1048576,MATCH(I$1,raw_data!$1:$1,0),FALSE)</f>
        <v>15.31338617389388</v>
      </c>
      <c r="J81" s="14">
        <f>VLOOKUP($F81,raw_data!$1:$1048576,MATCH(J$1,raw_data!$1:$1,0),FALSE)</f>
        <v>7.5648313692651206</v>
      </c>
      <c r="K81" s="14">
        <f>VLOOKUP($F81,raw_data!$1:$1048576,MATCH(K$1,raw_data!$1:$1,0),FALSE)</f>
        <v>7.9911448004010754</v>
      </c>
      <c r="L81" s="14">
        <f>VLOOKUP($F81,raw_data!$1:$1048576,MATCH(L$1,raw_data!$1:$1,0),FALSE)</f>
        <v>5.8816374021578159</v>
      </c>
      <c r="M81" s="14">
        <f>VLOOKUP($F81,raw_data!$1:$1048576,MATCH(M$1,raw_data!$1:$1,0),FALSE)</f>
        <v>0</v>
      </c>
      <c r="N81" s="14">
        <f>VLOOKUP($F81,raw_data!$1:$1048576,MATCH(N$1,raw_data!$1:$1,0),FALSE)</f>
        <v>20.835841456860219</v>
      </c>
      <c r="O81" s="14">
        <f>VLOOKUP($F81,raw_data!$1:$1048576,MATCH(O$1,raw_data!$1:$1,0),FALSE)</f>
        <v>19.408839388247511</v>
      </c>
      <c r="P81" s="14">
        <f>VLOOKUP($F81,raw_data!$1:$1048576,MATCH(P$1,raw_data!$1:$1,0),FALSE)</f>
        <v>6.7452851833157448</v>
      </c>
      <c r="Q81" s="14">
        <f>VLOOKUP($F81,raw_data!$1:$1048576,MATCH(Q$1,raw_data!$1:$1,0),FALSE)</f>
        <v>8.145260059101787</v>
      </c>
      <c r="R81" s="42">
        <f t="shared" ref="R81:AU81" si="74">R79*R96</f>
        <v>18.504723178057048</v>
      </c>
      <c r="S81" s="42">
        <f t="shared" si="74"/>
        <v>20.058917940407483</v>
      </c>
      <c r="T81" s="42">
        <f t="shared" si="74"/>
        <v>21.807380513297971</v>
      </c>
      <c r="U81" s="42">
        <f t="shared" si="74"/>
        <v>23.616023010543532</v>
      </c>
      <c r="V81" s="42">
        <f t="shared" si="74"/>
        <v>25.553038168957553</v>
      </c>
      <c r="W81" s="42">
        <f t="shared" si="74"/>
        <v>27.743839668634777</v>
      </c>
      <c r="X81" s="42">
        <f t="shared" si="74"/>
        <v>29.66213959037573</v>
      </c>
      <c r="Y81" s="42">
        <f t="shared" si="74"/>
        <v>31.781725033136578</v>
      </c>
      <c r="Z81" s="42">
        <f t="shared" si="74"/>
        <v>34.21003493578884</v>
      </c>
      <c r="AA81" s="42">
        <f t="shared" si="74"/>
        <v>36.887299997844529</v>
      </c>
      <c r="AB81" s="42">
        <f t="shared" si="74"/>
        <v>39.844632966506559</v>
      </c>
      <c r="AC81" s="42">
        <f t="shared" si="74"/>
        <v>42.578181051422767</v>
      </c>
      <c r="AD81" s="42">
        <f t="shared" si="74"/>
        <v>45.282426282047695</v>
      </c>
      <c r="AE81" s="42">
        <f t="shared" si="74"/>
        <v>47.967164193832716</v>
      </c>
      <c r="AF81" s="42">
        <f t="shared" si="74"/>
        <v>50.627740599850576</v>
      </c>
      <c r="AG81" s="42">
        <f t="shared" si="74"/>
        <v>53.220927053714561</v>
      </c>
      <c r="AH81" s="42">
        <f t="shared" si="74"/>
        <v>55.823659473684913</v>
      </c>
      <c r="AI81" s="42">
        <f t="shared" si="74"/>
        <v>58.39680492776214</v>
      </c>
      <c r="AJ81" s="42">
        <f t="shared" si="74"/>
        <v>60.230032936066088</v>
      </c>
      <c r="AK81" s="42">
        <f t="shared" si="74"/>
        <v>62.169445389788315</v>
      </c>
      <c r="AL81" s="42">
        <f t="shared" si="74"/>
        <v>64.161684582620296</v>
      </c>
      <c r="AM81" s="42">
        <f t="shared" si="74"/>
        <v>66.210279169696307</v>
      </c>
      <c r="AN81" s="42">
        <f t="shared" si="74"/>
        <v>68.310044042531942</v>
      </c>
      <c r="AO81" s="42">
        <f t="shared" si="74"/>
        <v>70.495946420055589</v>
      </c>
      <c r="AP81" s="42">
        <f t="shared" si="74"/>
        <v>72.771780417191792</v>
      </c>
      <c r="AQ81" s="42">
        <f t="shared" si="74"/>
        <v>75.080969213607062</v>
      </c>
      <c r="AR81" s="42">
        <f t="shared" si="74"/>
        <v>77.498329626746155</v>
      </c>
      <c r="AS81" s="42">
        <f t="shared" si="74"/>
        <v>79.996920782648701</v>
      </c>
      <c r="AT81" s="42">
        <f t="shared" si="74"/>
        <v>82.541057507903915</v>
      </c>
      <c r="AU81" s="42">
        <f t="shared" si="74"/>
        <v>85.191810863164278</v>
      </c>
    </row>
    <row r="82" spans="1:47">
      <c r="A82" s="119"/>
      <c r="B82" s="121" t="s">
        <v>126</v>
      </c>
      <c r="C82" s="33" t="s">
        <v>127</v>
      </c>
      <c r="D82" s="102" t="s">
        <v>9</v>
      </c>
      <c r="E82" s="102"/>
      <c r="F82" s="89" t="s">
        <v>128</v>
      </c>
      <c r="G82" s="89"/>
      <c r="H82" s="46">
        <f t="shared" ref="H82:Q82" si="75">H71*H19</f>
        <v>15.827078491117708</v>
      </c>
      <c r="I82" s="46">
        <f t="shared" si="75"/>
        <v>15.711435616139712</v>
      </c>
      <c r="J82" s="46">
        <f t="shared" si="75"/>
        <v>15.801332128395529</v>
      </c>
      <c r="K82" s="46">
        <f t="shared" si="75"/>
        <v>15.434570397570534</v>
      </c>
      <c r="L82" s="46">
        <f t="shared" si="75"/>
        <v>22.124032307606281</v>
      </c>
      <c r="M82" s="46">
        <f t="shared" si="75"/>
        <v>0</v>
      </c>
      <c r="N82" s="46">
        <f t="shared" si="75"/>
        <v>17.736290023631007</v>
      </c>
      <c r="O82" s="46">
        <f t="shared" si="75"/>
        <v>17.337200917286154</v>
      </c>
      <c r="P82" s="46">
        <f t="shared" si="75"/>
        <v>18.592138603823042</v>
      </c>
      <c r="Q82" s="46">
        <f t="shared" si="75"/>
        <v>20.312231824587155</v>
      </c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</row>
    <row r="83" spans="1:47">
      <c r="A83" s="119"/>
      <c r="B83" s="119"/>
      <c r="C83" s="5" t="s">
        <v>129</v>
      </c>
      <c r="D83" s="97" t="s">
        <v>9</v>
      </c>
      <c r="E83" s="97"/>
      <c r="F83" s="85" t="s">
        <v>130</v>
      </c>
      <c r="G83" s="85"/>
      <c r="H83" s="47">
        <f t="shared" ref="H83:Q83" si="76">H72*H19</f>
        <v>8.1961971606945259</v>
      </c>
      <c r="I83" s="47">
        <f t="shared" si="76"/>
        <v>10.421687697271535</v>
      </c>
      <c r="J83" s="47">
        <f t="shared" si="76"/>
        <v>11.190123818900929</v>
      </c>
      <c r="K83" s="47">
        <f t="shared" si="76"/>
        <v>9.493979187205678</v>
      </c>
      <c r="L83" s="47">
        <f t="shared" si="76"/>
        <v>14.241469934083586</v>
      </c>
      <c r="M83" s="47">
        <f t="shared" si="76"/>
        <v>0</v>
      </c>
      <c r="N83" s="47">
        <f t="shared" si="76"/>
        <v>10.83104430982659</v>
      </c>
      <c r="O83" s="47">
        <f t="shared" si="76"/>
        <v>11.064429912416225</v>
      </c>
      <c r="P83" s="47">
        <f t="shared" si="76"/>
        <v>8.5927257353512427</v>
      </c>
      <c r="Q83" s="47">
        <f t="shared" si="76"/>
        <v>11.217099791720312</v>
      </c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</row>
    <row r="84" spans="1:47">
      <c r="A84" s="119"/>
      <c r="B84" s="120"/>
      <c r="C84" s="32" t="s">
        <v>131</v>
      </c>
      <c r="D84" s="98" t="s">
        <v>9</v>
      </c>
      <c r="E84" s="98"/>
      <c r="F84" s="88" t="s">
        <v>132</v>
      </c>
      <c r="G84" s="88"/>
      <c r="H84" s="48">
        <f t="shared" ref="H84:Q84" si="77">H73*H19</f>
        <v>10.866238884833502</v>
      </c>
      <c r="I84" s="48">
        <f t="shared" si="77"/>
        <v>16.426944852922375</v>
      </c>
      <c r="J84" s="48">
        <f t="shared" si="77"/>
        <v>9.9996513983771944</v>
      </c>
      <c r="K84" s="48">
        <f t="shared" si="77"/>
        <v>8.9997224921355787</v>
      </c>
      <c r="L84" s="48">
        <f t="shared" si="77"/>
        <v>12.80826528013548</v>
      </c>
      <c r="M84" s="48">
        <f t="shared" si="77"/>
        <v>0</v>
      </c>
      <c r="N84" s="48">
        <f t="shared" si="77"/>
        <v>19.207854354346658</v>
      </c>
      <c r="O84" s="48">
        <f t="shared" si="77"/>
        <v>14.069840415890326</v>
      </c>
      <c r="P84" s="48">
        <f t="shared" si="77"/>
        <v>14.077692877037528</v>
      </c>
      <c r="Q84" s="48">
        <f t="shared" si="77"/>
        <v>16.85681270427941</v>
      </c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</row>
    <row r="85" spans="1:47">
      <c r="A85" s="119"/>
      <c r="B85" s="121" t="s">
        <v>133</v>
      </c>
      <c r="C85" s="33" t="s">
        <v>134</v>
      </c>
      <c r="D85" s="102" t="s">
        <v>63</v>
      </c>
      <c r="E85" s="102"/>
      <c r="F85" s="89" t="s">
        <v>135</v>
      </c>
      <c r="G85" s="89"/>
      <c r="H85" s="49">
        <v>0.39</v>
      </c>
      <c r="I85" s="49">
        <v>0.39</v>
      </c>
      <c r="J85" s="49">
        <v>0.39</v>
      </c>
      <c r="K85" s="49">
        <v>0.39</v>
      </c>
      <c r="L85" s="49">
        <v>0.39</v>
      </c>
      <c r="M85" s="49">
        <v>0.39</v>
      </c>
      <c r="N85" s="49">
        <v>0.39</v>
      </c>
      <c r="O85" s="49">
        <v>0.39</v>
      </c>
      <c r="P85" s="49">
        <v>0.39</v>
      </c>
      <c r="Q85" s="49">
        <v>0.39</v>
      </c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</row>
    <row r="86" spans="1:47">
      <c r="A86" s="119"/>
      <c r="B86" s="119"/>
      <c r="C86" s="5" t="s">
        <v>136</v>
      </c>
      <c r="D86" s="97" t="s">
        <v>9</v>
      </c>
      <c r="E86" s="97"/>
      <c r="F86" s="85" t="s">
        <v>137</v>
      </c>
      <c r="G86" s="85"/>
      <c r="H86" s="47">
        <f t="shared" ref="H86:Q86" si="78">H77*H85</f>
        <v>45.206298850995324</v>
      </c>
      <c r="I86" s="47">
        <f t="shared" si="78"/>
        <v>59.779802051290268</v>
      </c>
      <c r="J86" s="47">
        <f t="shared" si="78"/>
        <v>66.885497371848018</v>
      </c>
      <c r="K86" s="47">
        <f t="shared" si="78"/>
        <v>54.996172388858419</v>
      </c>
      <c r="L86" s="47">
        <f t="shared" si="78"/>
        <v>82.954734343298185</v>
      </c>
      <c r="M86" s="47">
        <f t="shared" si="78"/>
        <v>0</v>
      </c>
      <c r="N86" s="47">
        <f t="shared" si="78"/>
        <v>67.73389765889381</v>
      </c>
      <c r="O86" s="47">
        <f t="shared" si="78"/>
        <v>64.596371497749672</v>
      </c>
      <c r="P86" s="47">
        <f t="shared" si="78"/>
        <v>50.767666697134175</v>
      </c>
      <c r="Q86" s="47">
        <f t="shared" si="78"/>
        <v>65.927545034796466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</row>
    <row r="87" spans="1:47">
      <c r="A87" s="119"/>
      <c r="B87" s="119"/>
      <c r="C87" s="5" t="s">
        <v>138</v>
      </c>
      <c r="D87" s="97" t="s">
        <v>63</v>
      </c>
      <c r="E87" s="97"/>
      <c r="F87" s="85" t="s">
        <v>139</v>
      </c>
      <c r="G87" s="85"/>
      <c r="H87" s="50">
        <v>0.45</v>
      </c>
      <c r="I87" s="50">
        <v>0.45</v>
      </c>
      <c r="J87" s="50">
        <v>0.45</v>
      </c>
      <c r="K87" s="50">
        <v>0.45</v>
      </c>
      <c r="L87" s="50">
        <v>0.45</v>
      </c>
      <c r="M87" s="50">
        <v>0.45</v>
      </c>
      <c r="N87" s="50">
        <v>0.45</v>
      </c>
      <c r="O87" s="50">
        <v>0.45</v>
      </c>
      <c r="P87" s="50">
        <v>0.45</v>
      </c>
      <c r="Q87" s="50">
        <v>0.45</v>
      </c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</row>
    <row r="88" spans="1:47">
      <c r="A88" s="120"/>
      <c r="B88" s="120"/>
      <c r="C88" s="32" t="s">
        <v>140</v>
      </c>
      <c r="D88" s="98" t="s">
        <v>9</v>
      </c>
      <c r="E88" s="98"/>
      <c r="F88" s="88" t="s">
        <v>141</v>
      </c>
      <c r="G88" s="88"/>
      <c r="H88" s="48">
        <f t="shared" ref="H88:Q88" si="79">H78*H87</f>
        <v>68.570290746037941</v>
      </c>
      <c r="I88" s="48">
        <f t="shared" si="79"/>
        <v>105.55886121975981</v>
      </c>
      <c r="J88" s="48">
        <f t="shared" si="79"/>
        <v>69.613229699880037</v>
      </c>
      <c r="K88" s="48">
        <f t="shared" si="79"/>
        <v>60.335172683824055</v>
      </c>
      <c r="L88" s="48">
        <f t="shared" si="79"/>
        <v>87.998727703802487</v>
      </c>
      <c r="M88" s="48">
        <f t="shared" si="79"/>
        <v>0</v>
      </c>
      <c r="N88" s="48">
        <f t="shared" si="79"/>
        <v>121.6521368639992</v>
      </c>
      <c r="O88" s="48">
        <f t="shared" si="79"/>
        <v>93.098130921976136</v>
      </c>
      <c r="P88" s="48">
        <f t="shared" si="79"/>
        <v>97.009500073483807</v>
      </c>
      <c r="Q88" s="48">
        <f t="shared" si="79"/>
        <v>114.78835521790668</v>
      </c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</row>
    <row r="89" spans="1:47">
      <c r="A89" s="122" t="s">
        <v>142</v>
      </c>
      <c r="B89" s="127" t="s">
        <v>143</v>
      </c>
      <c r="C89" s="7" t="s">
        <v>144</v>
      </c>
      <c r="D89" s="86" t="s">
        <v>63</v>
      </c>
      <c r="E89" s="86"/>
      <c r="F89" s="100" t="s">
        <v>145</v>
      </c>
      <c r="G89" s="100">
        <f t="shared" ref="G89:G96" si="80">SUMIF($H$157:$Q$157,"O",H89:Q89)/COUNTIFS($H$157:$Q$157,"O",H89:Q89,"&lt;&gt;0")</f>
        <v>0.68190724272016856</v>
      </c>
      <c r="H89" s="55">
        <f t="shared" ref="H89:Q89" si="81">H65/H64</f>
        <v>0.61855670103092764</v>
      </c>
      <c r="I89" s="55">
        <f t="shared" si="81"/>
        <v>0.58981299212598426</v>
      </c>
      <c r="J89" s="55">
        <f t="shared" si="81"/>
        <v>0.77314867156585698</v>
      </c>
      <c r="K89" s="55">
        <f t="shared" si="81"/>
        <v>0.81516816516816504</v>
      </c>
      <c r="L89" s="55">
        <f t="shared" si="81"/>
        <v>0.71693485749020636</v>
      </c>
      <c r="M89" s="55" t="e">
        <f t="shared" si="81"/>
        <v>#DIV/0!</v>
      </c>
      <c r="N89" s="55">
        <f t="shared" si="81"/>
        <v>0.64204892966360894</v>
      </c>
      <c r="O89" s="55">
        <f t="shared" si="81"/>
        <v>0.75203405017921132</v>
      </c>
      <c r="P89" s="55">
        <f t="shared" si="81"/>
        <v>0.54803338737764951</v>
      </c>
      <c r="Q89" s="55">
        <f t="shared" si="81"/>
        <v>0.66906349778555985</v>
      </c>
      <c r="R89" s="4">
        <f t="shared" ref="R89:AA96" si="82">$G89</f>
        <v>0.68190724272016856</v>
      </c>
      <c r="S89" s="4">
        <f t="shared" si="82"/>
        <v>0.68190724272016856</v>
      </c>
      <c r="T89" s="4">
        <f t="shared" si="82"/>
        <v>0.68190724272016856</v>
      </c>
      <c r="U89" s="4">
        <f t="shared" si="82"/>
        <v>0.68190724272016856</v>
      </c>
      <c r="V89" s="4">
        <f t="shared" si="82"/>
        <v>0.68190724272016856</v>
      </c>
      <c r="W89" s="4">
        <f t="shared" si="82"/>
        <v>0.68190724272016856</v>
      </c>
      <c r="X89" s="4">
        <f t="shared" si="82"/>
        <v>0.68190724272016856</v>
      </c>
      <c r="Y89" s="4">
        <f t="shared" si="82"/>
        <v>0.68190724272016856</v>
      </c>
      <c r="Z89" s="4">
        <f t="shared" si="82"/>
        <v>0.68190724272016856</v>
      </c>
      <c r="AA89" s="4">
        <f t="shared" si="82"/>
        <v>0.68190724272016856</v>
      </c>
      <c r="AB89" s="4">
        <f t="shared" ref="AB89:AK96" si="83">$G89</f>
        <v>0.68190724272016856</v>
      </c>
      <c r="AC89" s="4">
        <f t="shared" si="83"/>
        <v>0.68190724272016856</v>
      </c>
      <c r="AD89" s="4">
        <f t="shared" si="83"/>
        <v>0.68190724272016856</v>
      </c>
      <c r="AE89" s="4">
        <f t="shared" si="83"/>
        <v>0.68190724272016856</v>
      </c>
      <c r="AF89" s="4">
        <f t="shared" si="83"/>
        <v>0.68190724272016856</v>
      </c>
      <c r="AG89" s="4">
        <f t="shared" si="83"/>
        <v>0.68190724272016856</v>
      </c>
      <c r="AH89" s="4">
        <f t="shared" si="83"/>
        <v>0.68190724272016856</v>
      </c>
      <c r="AI89" s="4">
        <f t="shared" si="83"/>
        <v>0.68190724272016856</v>
      </c>
      <c r="AJ89" s="4">
        <f t="shared" si="83"/>
        <v>0.68190724272016856</v>
      </c>
      <c r="AK89" s="4">
        <f t="shared" si="83"/>
        <v>0.68190724272016856</v>
      </c>
      <c r="AL89" s="4">
        <f t="shared" ref="AL89:AU96" si="84">$G89</f>
        <v>0.68190724272016856</v>
      </c>
      <c r="AM89" s="4">
        <f t="shared" si="84"/>
        <v>0.68190724272016856</v>
      </c>
      <c r="AN89" s="4">
        <f t="shared" si="84"/>
        <v>0.68190724272016856</v>
      </c>
      <c r="AO89" s="4">
        <f t="shared" si="84"/>
        <v>0.68190724272016856</v>
      </c>
      <c r="AP89" s="4">
        <f t="shared" si="84"/>
        <v>0.68190724272016856</v>
      </c>
      <c r="AQ89" s="4">
        <f t="shared" si="84"/>
        <v>0.68190724272016856</v>
      </c>
      <c r="AR89" s="4">
        <f t="shared" si="84"/>
        <v>0.68190724272016856</v>
      </c>
      <c r="AS89" s="4">
        <f t="shared" si="84"/>
        <v>0.68190724272016856</v>
      </c>
      <c r="AT89" s="4">
        <f t="shared" si="84"/>
        <v>0.68190724272016856</v>
      </c>
      <c r="AU89" s="4">
        <f t="shared" si="84"/>
        <v>0.68190724272016856</v>
      </c>
    </row>
    <row r="90" spans="1:47">
      <c r="A90" s="119"/>
      <c r="B90" s="119"/>
      <c r="C90" s="8" t="s">
        <v>146</v>
      </c>
      <c r="D90" s="86" t="s">
        <v>63</v>
      </c>
      <c r="E90" s="86"/>
      <c r="F90" s="100" t="s">
        <v>147</v>
      </c>
      <c r="G90" s="100">
        <f t="shared" si="80"/>
        <v>0.62466178698603136</v>
      </c>
      <c r="H90" s="55">
        <f t="shared" ref="H90:Q90" si="85">H66/H64</f>
        <v>0.70175438596491213</v>
      </c>
      <c r="I90" s="55">
        <f t="shared" si="85"/>
        <v>0.60019180294770835</v>
      </c>
      <c r="J90" s="55">
        <f t="shared" si="85"/>
        <v>0.63294501397949687</v>
      </c>
      <c r="K90" s="55">
        <f t="shared" si="85"/>
        <v>0.53955149788483114</v>
      </c>
      <c r="L90" s="55">
        <f t="shared" si="85"/>
        <v>0.59768973596982489</v>
      </c>
      <c r="M90" s="55" t="e">
        <f t="shared" si="85"/>
        <v>#DIV/0!</v>
      </c>
      <c r="N90" s="55">
        <f t="shared" si="85"/>
        <v>0.9715857774397495</v>
      </c>
      <c r="O90" s="55">
        <f t="shared" si="85"/>
        <v>0.69596918085969162</v>
      </c>
      <c r="P90" s="55">
        <f t="shared" si="85"/>
        <v>0.76773892773892771</v>
      </c>
      <c r="Q90" s="55">
        <f t="shared" si="85"/>
        <v>0.68412151216288053</v>
      </c>
      <c r="R90" s="4">
        <f t="shared" si="82"/>
        <v>0.62466178698603136</v>
      </c>
      <c r="S90" s="4">
        <f t="shared" si="82"/>
        <v>0.62466178698603136</v>
      </c>
      <c r="T90" s="4">
        <f t="shared" si="82"/>
        <v>0.62466178698603136</v>
      </c>
      <c r="U90" s="4">
        <f t="shared" si="82"/>
        <v>0.62466178698603136</v>
      </c>
      <c r="V90" s="4">
        <f t="shared" si="82"/>
        <v>0.62466178698603136</v>
      </c>
      <c r="W90" s="4">
        <f t="shared" si="82"/>
        <v>0.62466178698603136</v>
      </c>
      <c r="X90" s="4">
        <f t="shared" si="82"/>
        <v>0.62466178698603136</v>
      </c>
      <c r="Y90" s="4">
        <f t="shared" si="82"/>
        <v>0.62466178698603136</v>
      </c>
      <c r="Z90" s="4">
        <f t="shared" si="82"/>
        <v>0.62466178698603136</v>
      </c>
      <c r="AA90" s="4">
        <f t="shared" si="82"/>
        <v>0.62466178698603136</v>
      </c>
      <c r="AB90" s="4">
        <f t="shared" si="83"/>
        <v>0.62466178698603136</v>
      </c>
      <c r="AC90" s="4">
        <f t="shared" si="83"/>
        <v>0.62466178698603136</v>
      </c>
      <c r="AD90" s="4">
        <f t="shared" si="83"/>
        <v>0.62466178698603136</v>
      </c>
      <c r="AE90" s="4">
        <f t="shared" si="83"/>
        <v>0.62466178698603136</v>
      </c>
      <c r="AF90" s="4">
        <f t="shared" si="83"/>
        <v>0.62466178698603136</v>
      </c>
      <c r="AG90" s="4">
        <f t="shared" si="83"/>
        <v>0.62466178698603136</v>
      </c>
      <c r="AH90" s="4">
        <f t="shared" si="83"/>
        <v>0.62466178698603136</v>
      </c>
      <c r="AI90" s="4">
        <f t="shared" si="83"/>
        <v>0.62466178698603136</v>
      </c>
      <c r="AJ90" s="4">
        <f t="shared" si="83"/>
        <v>0.62466178698603136</v>
      </c>
      <c r="AK90" s="4">
        <f t="shared" si="83"/>
        <v>0.62466178698603136</v>
      </c>
      <c r="AL90" s="4">
        <f t="shared" si="84"/>
        <v>0.62466178698603136</v>
      </c>
      <c r="AM90" s="4">
        <f t="shared" si="84"/>
        <v>0.62466178698603136</v>
      </c>
      <c r="AN90" s="4">
        <f t="shared" si="84"/>
        <v>0.62466178698603136</v>
      </c>
      <c r="AO90" s="4">
        <f t="shared" si="84"/>
        <v>0.62466178698603136</v>
      </c>
      <c r="AP90" s="4">
        <f t="shared" si="84"/>
        <v>0.62466178698603136</v>
      </c>
      <c r="AQ90" s="4">
        <f t="shared" si="84"/>
        <v>0.62466178698603136</v>
      </c>
      <c r="AR90" s="4">
        <f t="shared" si="84"/>
        <v>0.62466178698603136</v>
      </c>
      <c r="AS90" s="4">
        <f t="shared" si="84"/>
        <v>0.62466178698603136</v>
      </c>
      <c r="AT90" s="4">
        <f t="shared" si="84"/>
        <v>0.62466178698603136</v>
      </c>
      <c r="AU90" s="4">
        <f t="shared" si="84"/>
        <v>0.62466178698603136</v>
      </c>
    </row>
    <row r="91" spans="1:47">
      <c r="A91" s="119"/>
      <c r="B91" s="123" t="s">
        <v>148</v>
      </c>
      <c r="C91" s="8" t="s">
        <v>149</v>
      </c>
      <c r="D91" s="86" t="s">
        <v>63</v>
      </c>
      <c r="E91" s="86"/>
      <c r="F91" s="100" t="s">
        <v>150</v>
      </c>
      <c r="G91" s="100">
        <f t="shared" si="80"/>
        <v>0.94338661962813375</v>
      </c>
      <c r="H91" s="55">
        <f t="shared" ref="H91:Q91" si="86">H76/H71</f>
        <v>0.86804964633002279</v>
      </c>
      <c r="I91" s="55">
        <f t="shared" si="86"/>
        <v>0.94240472190094182</v>
      </c>
      <c r="J91" s="55">
        <f t="shared" si="86"/>
        <v>0.96424815119654439</v>
      </c>
      <c r="K91" s="55">
        <f t="shared" si="86"/>
        <v>0.97138817526323218</v>
      </c>
      <c r="L91" s="55">
        <f t="shared" si="86"/>
        <v>0.96696870491414189</v>
      </c>
      <c r="M91" s="55" t="e">
        <f t="shared" si="86"/>
        <v>#DIV/0!</v>
      </c>
      <c r="N91" s="55">
        <f t="shared" si="86"/>
        <v>0.97204564825768947</v>
      </c>
      <c r="O91" s="55">
        <f t="shared" si="86"/>
        <v>0.89512265525188073</v>
      </c>
      <c r="P91" s="55">
        <f t="shared" si="86"/>
        <v>0.97873559678311328</v>
      </c>
      <c r="Q91" s="55">
        <f t="shared" si="86"/>
        <v>0.96812184973233029</v>
      </c>
      <c r="R91" s="4">
        <f t="shared" si="82"/>
        <v>0.94338661962813375</v>
      </c>
      <c r="S91" s="4">
        <f t="shared" si="82"/>
        <v>0.94338661962813375</v>
      </c>
      <c r="T91" s="4">
        <f t="shared" si="82"/>
        <v>0.94338661962813375</v>
      </c>
      <c r="U91" s="4">
        <f t="shared" si="82"/>
        <v>0.94338661962813375</v>
      </c>
      <c r="V91" s="4">
        <f t="shared" si="82"/>
        <v>0.94338661962813375</v>
      </c>
      <c r="W91" s="4">
        <f t="shared" si="82"/>
        <v>0.94338661962813375</v>
      </c>
      <c r="X91" s="4">
        <f t="shared" si="82"/>
        <v>0.94338661962813375</v>
      </c>
      <c r="Y91" s="4">
        <f t="shared" si="82"/>
        <v>0.94338661962813375</v>
      </c>
      <c r="Z91" s="4">
        <f t="shared" si="82"/>
        <v>0.94338661962813375</v>
      </c>
      <c r="AA91" s="4">
        <f t="shared" si="82"/>
        <v>0.94338661962813375</v>
      </c>
      <c r="AB91" s="4">
        <f t="shared" si="83"/>
        <v>0.94338661962813375</v>
      </c>
      <c r="AC91" s="4">
        <f t="shared" si="83"/>
        <v>0.94338661962813375</v>
      </c>
      <c r="AD91" s="4">
        <f t="shared" si="83"/>
        <v>0.94338661962813375</v>
      </c>
      <c r="AE91" s="4">
        <f t="shared" si="83"/>
        <v>0.94338661962813375</v>
      </c>
      <c r="AF91" s="4">
        <f t="shared" si="83"/>
        <v>0.94338661962813375</v>
      </c>
      <c r="AG91" s="4">
        <f t="shared" si="83"/>
        <v>0.94338661962813375</v>
      </c>
      <c r="AH91" s="4">
        <f t="shared" si="83"/>
        <v>0.94338661962813375</v>
      </c>
      <c r="AI91" s="4">
        <f t="shared" si="83"/>
        <v>0.94338661962813375</v>
      </c>
      <c r="AJ91" s="4">
        <f t="shared" si="83"/>
        <v>0.94338661962813375</v>
      </c>
      <c r="AK91" s="4">
        <f t="shared" si="83"/>
        <v>0.94338661962813375</v>
      </c>
      <c r="AL91" s="4">
        <f t="shared" si="84"/>
        <v>0.94338661962813375</v>
      </c>
      <c r="AM91" s="4">
        <f t="shared" si="84"/>
        <v>0.94338661962813375</v>
      </c>
      <c r="AN91" s="4">
        <f t="shared" si="84"/>
        <v>0.94338661962813375</v>
      </c>
      <c r="AO91" s="4">
        <f t="shared" si="84"/>
        <v>0.94338661962813375</v>
      </c>
      <c r="AP91" s="4">
        <f t="shared" si="84"/>
        <v>0.94338661962813375</v>
      </c>
      <c r="AQ91" s="4">
        <f t="shared" si="84"/>
        <v>0.94338661962813375</v>
      </c>
      <c r="AR91" s="4">
        <f t="shared" si="84"/>
        <v>0.94338661962813375</v>
      </c>
      <c r="AS91" s="4">
        <f t="shared" si="84"/>
        <v>0.94338661962813375</v>
      </c>
      <c r="AT91" s="4">
        <f t="shared" si="84"/>
        <v>0.94338661962813375</v>
      </c>
      <c r="AU91" s="4">
        <f t="shared" si="84"/>
        <v>0.94338661962813375</v>
      </c>
    </row>
    <row r="92" spans="1:47">
      <c r="A92" s="119"/>
      <c r="B92" s="119"/>
      <c r="C92" s="8" t="s">
        <v>151</v>
      </c>
      <c r="D92" s="86" t="s">
        <v>63</v>
      </c>
      <c r="E92" s="86"/>
      <c r="F92" s="100" t="s">
        <v>152</v>
      </c>
      <c r="G92" s="100">
        <f t="shared" si="80"/>
        <v>0.59763991050324994</v>
      </c>
      <c r="H92" s="113">
        <f t="shared" ref="H92:Q92" si="87">H77/H76</f>
        <v>0.53866370862031954</v>
      </c>
      <c r="I92" s="113">
        <f t="shared" si="87"/>
        <v>0.65344295947798448</v>
      </c>
      <c r="J92" s="113">
        <f t="shared" si="87"/>
        <v>0.70263743638958043</v>
      </c>
      <c r="K92" s="113">
        <f t="shared" si="87"/>
        <v>0.61566383679674974</v>
      </c>
      <c r="L92" s="55">
        <f t="shared" si="87"/>
        <v>0.63124688581681332</v>
      </c>
      <c r="M92" s="55" t="e">
        <f t="shared" si="87"/>
        <v>#DIV/0!</v>
      </c>
      <c r="N92" s="55">
        <f t="shared" si="87"/>
        <v>0.64244245365041408</v>
      </c>
      <c r="O92" s="55">
        <f t="shared" si="87"/>
        <v>0.6898287364588146</v>
      </c>
      <c r="P92" s="55">
        <f t="shared" si="87"/>
        <v>0.46170592050107001</v>
      </c>
      <c r="Q92" s="113">
        <f t="shared" si="87"/>
        <v>0.54918216180438251</v>
      </c>
      <c r="R92" s="112">
        <f t="shared" si="82"/>
        <v>0.59763991050324994</v>
      </c>
      <c r="S92" s="4">
        <f t="shared" si="82"/>
        <v>0.59763991050324994</v>
      </c>
      <c r="T92" s="4">
        <f t="shared" si="82"/>
        <v>0.59763991050324994</v>
      </c>
      <c r="U92" s="4">
        <f t="shared" si="82"/>
        <v>0.59763991050324994</v>
      </c>
      <c r="V92" s="4">
        <f t="shared" si="82"/>
        <v>0.59763991050324994</v>
      </c>
      <c r="W92" s="4">
        <f t="shared" si="82"/>
        <v>0.59763991050324994</v>
      </c>
      <c r="X92" s="4">
        <f t="shared" si="82"/>
        <v>0.59763991050324994</v>
      </c>
      <c r="Y92" s="4">
        <f t="shared" si="82"/>
        <v>0.59763991050324994</v>
      </c>
      <c r="Z92" s="4">
        <f t="shared" si="82"/>
        <v>0.59763991050324994</v>
      </c>
      <c r="AA92" s="4">
        <f t="shared" si="82"/>
        <v>0.59763991050324994</v>
      </c>
      <c r="AB92" s="4">
        <f t="shared" si="83"/>
        <v>0.59763991050324994</v>
      </c>
      <c r="AC92" s="4">
        <f t="shared" si="83"/>
        <v>0.59763991050324994</v>
      </c>
      <c r="AD92" s="4">
        <f t="shared" si="83"/>
        <v>0.59763991050324994</v>
      </c>
      <c r="AE92" s="4">
        <f t="shared" si="83"/>
        <v>0.59763991050324994</v>
      </c>
      <c r="AF92" s="4">
        <f t="shared" si="83"/>
        <v>0.59763991050324994</v>
      </c>
      <c r="AG92" s="4">
        <f t="shared" si="83"/>
        <v>0.59763991050324994</v>
      </c>
      <c r="AH92" s="4">
        <f t="shared" si="83"/>
        <v>0.59763991050324994</v>
      </c>
      <c r="AI92" s="4">
        <f t="shared" si="83"/>
        <v>0.59763991050324994</v>
      </c>
      <c r="AJ92" s="4">
        <f t="shared" si="83"/>
        <v>0.59763991050324994</v>
      </c>
      <c r="AK92" s="4">
        <f t="shared" si="83"/>
        <v>0.59763991050324994</v>
      </c>
      <c r="AL92" s="4">
        <f t="shared" si="84"/>
        <v>0.59763991050324994</v>
      </c>
      <c r="AM92" s="4">
        <f t="shared" si="84"/>
        <v>0.59763991050324994</v>
      </c>
      <c r="AN92" s="4">
        <f t="shared" si="84"/>
        <v>0.59763991050324994</v>
      </c>
      <c r="AO92" s="4">
        <f t="shared" si="84"/>
        <v>0.59763991050324994</v>
      </c>
      <c r="AP92" s="4">
        <f t="shared" si="84"/>
        <v>0.59763991050324994</v>
      </c>
      <c r="AQ92" s="4">
        <f t="shared" si="84"/>
        <v>0.59763991050324994</v>
      </c>
      <c r="AR92" s="4">
        <f t="shared" si="84"/>
        <v>0.59763991050324994</v>
      </c>
      <c r="AS92" s="4">
        <f t="shared" si="84"/>
        <v>0.59763991050324994</v>
      </c>
      <c r="AT92" s="4">
        <f t="shared" si="84"/>
        <v>0.59763991050324994</v>
      </c>
      <c r="AU92" s="4">
        <f t="shared" si="84"/>
        <v>0.59763991050324994</v>
      </c>
    </row>
    <row r="93" spans="1:47">
      <c r="A93" s="119"/>
      <c r="B93" s="119"/>
      <c r="C93" s="8" t="s">
        <v>153</v>
      </c>
      <c r="D93" s="86" t="s">
        <v>63</v>
      </c>
      <c r="E93" s="86"/>
      <c r="F93" s="100" t="s">
        <v>154</v>
      </c>
      <c r="G93" s="100">
        <f t="shared" si="80"/>
        <v>0.74050879195479591</v>
      </c>
      <c r="H93" s="113">
        <f t="shared" ref="H93:Q93" si="88">H78/H76</f>
        <v>0.70811998134794552</v>
      </c>
      <c r="I93" s="113">
        <f t="shared" si="88"/>
        <v>1</v>
      </c>
      <c r="J93" s="113">
        <f t="shared" si="88"/>
        <v>0.63378681607813991</v>
      </c>
      <c r="K93" s="113">
        <f t="shared" si="88"/>
        <v>0.58537454496979791</v>
      </c>
      <c r="L93" s="55">
        <f t="shared" si="88"/>
        <v>0.58034541557471475</v>
      </c>
      <c r="M93" s="55" t="e">
        <f t="shared" si="88"/>
        <v>#DIV/0!</v>
      </c>
      <c r="N93" s="55">
        <f t="shared" si="88"/>
        <v>1</v>
      </c>
      <c r="O93" s="55">
        <f t="shared" si="88"/>
        <v>0.86164071748898763</v>
      </c>
      <c r="P93" s="55">
        <f t="shared" si="88"/>
        <v>0.76461814478329881</v>
      </c>
      <c r="Q93" s="113">
        <f t="shared" si="88"/>
        <v>0.82870401788152148</v>
      </c>
      <c r="R93" s="112">
        <f t="shared" si="82"/>
        <v>0.74050879195479591</v>
      </c>
      <c r="S93" s="4">
        <f t="shared" si="82"/>
        <v>0.74050879195479591</v>
      </c>
      <c r="T93" s="4">
        <f t="shared" si="82"/>
        <v>0.74050879195479591</v>
      </c>
      <c r="U93" s="4">
        <f t="shared" si="82"/>
        <v>0.74050879195479591</v>
      </c>
      <c r="V93" s="4">
        <f t="shared" si="82"/>
        <v>0.74050879195479591</v>
      </c>
      <c r="W93" s="4">
        <f t="shared" si="82"/>
        <v>0.74050879195479591</v>
      </c>
      <c r="X93" s="4">
        <f t="shared" si="82"/>
        <v>0.74050879195479591</v>
      </c>
      <c r="Y93" s="4">
        <f t="shared" si="82"/>
        <v>0.74050879195479591</v>
      </c>
      <c r="Z93" s="4">
        <f t="shared" si="82"/>
        <v>0.74050879195479591</v>
      </c>
      <c r="AA93" s="4">
        <f t="shared" si="82"/>
        <v>0.74050879195479591</v>
      </c>
      <c r="AB93" s="4">
        <f t="shared" si="83"/>
        <v>0.74050879195479591</v>
      </c>
      <c r="AC93" s="4">
        <f t="shared" si="83"/>
        <v>0.74050879195479591</v>
      </c>
      <c r="AD93" s="4">
        <f t="shared" si="83"/>
        <v>0.74050879195479591</v>
      </c>
      <c r="AE93" s="4">
        <f t="shared" si="83"/>
        <v>0.74050879195479591</v>
      </c>
      <c r="AF93" s="4">
        <f t="shared" si="83"/>
        <v>0.74050879195479591</v>
      </c>
      <c r="AG93" s="4">
        <f t="shared" si="83"/>
        <v>0.74050879195479591</v>
      </c>
      <c r="AH93" s="4">
        <f t="shared" si="83"/>
        <v>0.74050879195479591</v>
      </c>
      <c r="AI93" s="4">
        <f t="shared" si="83"/>
        <v>0.74050879195479591</v>
      </c>
      <c r="AJ93" s="4">
        <f t="shared" si="83"/>
        <v>0.74050879195479591</v>
      </c>
      <c r="AK93" s="4">
        <f t="shared" si="83"/>
        <v>0.74050879195479591</v>
      </c>
      <c r="AL93" s="4">
        <f t="shared" si="84"/>
        <v>0.74050879195479591</v>
      </c>
      <c r="AM93" s="4">
        <f t="shared" si="84"/>
        <v>0.74050879195479591</v>
      </c>
      <c r="AN93" s="4">
        <f t="shared" si="84"/>
        <v>0.74050879195479591</v>
      </c>
      <c r="AO93" s="4">
        <f t="shared" si="84"/>
        <v>0.74050879195479591</v>
      </c>
      <c r="AP93" s="4">
        <f t="shared" si="84"/>
        <v>0.74050879195479591</v>
      </c>
      <c r="AQ93" s="4">
        <f t="shared" si="84"/>
        <v>0.74050879195479591</v>
      </c>
      <c r="AR93" s="4">
        <f t="shared" si="84"/>
        <v>0.74050879195479591</v>
      </c>
      <c r="AS93" s="4">
        <f t="shared" si="84"/>
        <v>0.74050879195479591</v>
      </c>
      <c r="AT93" s="4">
        <f t="shared" si="84"/>
        <v>0.74050879195479591</v>
      </c>
      <c r="AU93" s="4">
        <f t="shared" si="84"/>
        <v>0.74050879195479591</v>
      </c>
    </row>
    <row r="94" spans="1:47">
      <c r="A94" s="119"/>
      <c r="B94" s="119"/>
      <c r="C94" s="8" t="s">
        <v>155</v>
      </c>
      <c r="D94" s="86" t="s">
        <v>63</v>
      </c>
      <c r="E94" s="86"/>
      <c r="F94" s="100" t="s">
        <v>156</v>
      </c>
      <c r="G94" s="100">
        <f t="shared" si="80"/>
        <v>5.9418693284544702E-2</v>
      </c>
      <c r="H94" s="55">
        <f t="shared" ref="H94:Q94" si="89">H79/H71</f>
        <v>8.9616121475631597E-2</v>
      </c>
      <c r="I94" s="55">
        <f t="shared" si="89"/>
        <v>7.1089472086152725E-2</v>
      </c>
      <c r="J94" s="55">
        <f t="shared" si="89"/>
        <v>4.0369433985340153E-2</v>
      </c>
      <c r="K94" s="55">
        <f t="shared" si="89"/>
        <v>3.5585767101838091E-2</v>
      </c>
      <c r="L94" s="55">
        <f t="shared" si="89"/>
        <v>2.8871249085677061E-2</v>
      </c>
      <c r="M94" s="55" t="e">
        <f t="shared" si="89"/>
        <v>#DIV/0!</v>
      </c>
      <c r="N94" s="55">
        <f t="shared" si="89"/>
        <v>8.3385712501056308E-2</v>
      </c>
      <c r="O94" s="55">
        <f t="shared" si="89"/>
        <v>8.718075230787764E-2</v>
      </c>
      <c r="P94" s="55">
        <f t="shared" si="89"/>
        <v>3.5454553455848359E-2</v>
      </c>
      <c r="Q94" s="55">
        <f t="shared" si="89"/>
        <v>7.193085667342404E-2</v>
      </c>
      <c r="R94" s="4">
        <f t="shared" si="82"/>
        <v>5.9418693284544702E-2</v>
      </c>
      <c r="S94" s="4">
        <f t="shared" si="82"/>
        <v>5.9418693284544702E-2</v>
      </c>
      <c r="T94" s="4">
        <f t="shared" si="82"/>
        <v>5.9418693284544702E-2</v>
      </c>
      <c r="U94" s="4">
        <f t="shared" si="82"/>
        <v>5.9418693284544702E-2</v>
      </c>
      <c r="V94" s="4">
        <f t="shared" si="82"/>
        <v>5.9418693284544702E-2</v>
      </c>
      <c r="W94" s="4">
        <f t="shared" si="82"/>
        <v>5.9418693284544702E-2</v>
      </c>
      <c r="X94" s="4">
        <f t="shared" si="82"/>
        <v>5.9418693284544702E-2</v>
      </c>
      <c r="Y94" s="4">
        <f t="shared" si="82"/>
        <v>5.9418693284544702E-2</v>
      </c>
      <c r="Z94" s="4">
        <f t="shared" si="82"/>
        <v>5.9418693284544702E-2</v>
      </c>
      <c r="AA94" s="4">
        <f t="shared" si="82"/>
        <v>5.9418693284544702E-2</v>
      </c>
      <c r="AB94" s="4">
        <f t="shared" si="83"/>
        <v>5.9418693284544702E-2</v>
      </c>
      <c r="AC94" s="4">
        <f t="shared" si="83"/>
        <v>5.9418693284544702E-2</v>
      </c>
      <c r="AD94" s="4">
        <f t="shared" si="83"/>
        <v>5.9418693284544702E-2</v>
      </c>
      <c r="AE94" s="4">
        <f t="shared" si="83"/>
        <v>5.9418693284544702E-2</v>
      </c>
      <c r="AF94" s="4">
        <f t="shared" si="83"/>
        <v>5.9418693284544702E-2</v>
      </c>
      <c r="AG94" s="4">
        <f t="shared" si="83"/>
        <v>5.9418693284544702E-2</v>
      </c>
      <c r="AH94" s="4">
        <f t="shared" si="83"/>
        <v>5.9418693284544702E-2</v>
      </c>
      <c r="AI94" s="4">
        <f t="shared" si="83"/>
        <v>5.9418693284544702E-2</v>
      </c>
      <c r="AJ94" s="4">
        <f t="shared" si="83"/>
        <v>5.9418693284544702E-2</v>
      </c>
      <c r="AK94" s="4">
        <f t="shared" si="83"/>
        <v>5.9418693284544702E-2</v>
      </c>
      <c r="AL94" s="4">
        <f t="shared" si="84"/>
        <v>5.9418693284544702E-2</v>
      </c>
      <c r="AM94" s="4">
        <f t="shared" si="84"/>
        <v>5.9418693284544702E-2</v>
      </c>
      <c r="AN94" s="4">
        <f t="shared" si="84"/>
        <v>5.9418693284544702E-2</v>
      </c>
      <c r="AO94" s="4">
        <f t="shared" si="84"/>
        <v>5.9418693284544702E-2</v>
      </c>
      <c r="AP94" s="4">
        <f t="shared" si="84"/>
        <v>5.9418693284544702E-2</v>
      </c>
      <c r="AQ94" s="4">
        <f t="shared" si="84"/>
        <v>5.9418693284544702E-2</v>
      </c>
      <c r="AR94" s="4">
        <f t="shared" si="84"/>
        <v>5.9418693284544702E-2</v>
      </c>
      <c r="AS94" s="4">
        <f t="shared" si="84"/>
        <v>5.9418693284544702E-2</v>
      </c>
      <c r="AT94" s="4">
        <f t="shared" si="84"/>
        <v>5.9418693284544702E-2</v>
      </c>
      <c r="AU94" s="4">
        <f t="shared" si="84"/>
        <v>5.9418693284544702E-2</v>
      </c>
    </row>
    <row r="95" spans="1:47">
      <c r="A95" s="119"/>
      <c r="B95" s="119"/>
      <c r="C95" s="8" t="s">
        <v>157</v>
      </c>
      <c r="D95" s="86" t="s">
        <v>63</v>
      </c>
      <c r="E95" s="86"/>
      <c r="F95" s="100" t="s">
        <v>158</v>
      </c>
      <c r="G95" s="100">
        <f t="shared" si="80"/>
        <v>0.72653234100131292</v>
      </c>
      <c r="H95" s="55">
        <f t="shared" ref="H95:Q95" si="90">H80/H79</f>
        <v>0.61887697611913584</v>
      </c>
      <c r="I95" s="55">
        <f t="shared" si="90"/>
        <v>0.55194427387778344</v>
      </c>
      <c r="J95" s="55">
        <f t="shared" si="90"/>
        <v>0.72487257422607709</v>
      </c>
      <c r="K95" s="55">
        <f t="shared" si="90"/>
        <v>0.6676625351855846</v>
      </c>
      <c r="L95" s="55">
        <f t="shared" si="90"/>
        <v>1.1319346310341676</v>
      </c>
      <c r="M95" s="55" t="e">
        <f t="shared" si="90"/>
        <v>#DIV/0!</v>
      </c>
      <c r="N95" s="55">
        <f t="shared" si="90"/>
        <v>0.86791207990133112</v>
      </c>
      <c r="O95" s="55">
        <f t="shared" si="90"/>
        <v>0.80166478217000736</v>
      </c>
      <c r="P95" s="55">
        <f t="shared" si="90"/>
        <v>0.75667177045634348</v>
      </c>
      <c r="Q95" s="55">
        <f t="shared" si="90"/>
        <v>0.66224328878989325</v>
      </c>
      <c r="R95" s="4">
        <f t="shared" si="82"/>
        <v>0.72653234100131292</v>
      </c>
      <c r="S95" s="4">
        <f t="shared" si="82"/>
        <v>0.72653234100131292</v>
      </c>
      <c r="T95" s="4">
        <f t="shared" si="82"/>
        <v>0.72653234100131292</v>
      </c>
      <c r="U95" s="4">
        <f t="shared" si="82"/>
        <v>0.72653234100131292</v>
      </c>
      <c r="V95" s="4">
        <f t="shared" si="82"/>
        <v>0.72653234100131292</v>
      </c>
      <c r="W95" s="4">
        <f t="shared" si="82"/>
        <v>0.72653234100131292</v>
      </c>
      <c r="X95" s="4">
        <f t="shared" si="82"/>
        <v>0.72653234100131292</v>
      </c>
      <c r="Y95" s="4">
        <f t="shared" si="82"/>
        <v>0.72653234100131292</v>
      </c>
      <c r="Z95" s="4">
        <f t="shared" si="82"/>
        <v>0.72653234100131292</v>
      </c>
      <c r="AA95" s="4">
        <f t="shared" si="82"/>
        <v>0.72653234100131292</v>
      </c>
      <c r="AB95" s="4">
        <f t="shared" si="83"/>
        <v>0.72653234100131292</v>
      </c>
      <c r="AC95" s="4">
        <f t="shared" si="83"/>
        <v>0.72653234100131292</v>
      </c>
      <c r="AD95" s="4">
        <f t="shared" si="83"/>
        <v>0.72653234100131292</v>
      </c>
      <c r="AE95" s="4">
        <f t="shared" si="83"/>
        <v>0.72653234100131292</v>
      </c>
      <c r="AF95" s="4">
        <f t="shared" si="83"/>
        <v>0.72653234100131292</v>
      </c>
      <c r="AG95" s="4">
        <f t="shared" si="83"/>
        <v>0.72653234100131292</v>
      </c>
      <c r="AH95" s="4">
        <f t="shared" si="83"/>
        <v>0.72653234100131292</v>
      </c>
      <c r="AI95" s="4">
        <f t="shared" si="83"/>
        <v>0.72653234100131292</v>
      </c>
      <c r="AJ95" s="4">
        <f t="shared" si="83"/>
        <v>0.72653234100131292</v>
      </c>
      <c r="AK95" s="4">
        <f t="shared" si="83"/>
        <v>0.72653234100131292</v>
      </c>
      <c r="AL95" s="4">
        <f t="shared" si="84"/>
        <v>0.72653234100131292</v>
      </c>
      <c r="AM95" s="4">
        <f t="shared" si="84"/>
        <v>0.72653234100131292</v>
      </c>
      <c r="AN95" s="4">
        <f t="shared" si="84"/>
        <v>0.72653234100131292</v>
      </c>
      <c r="AO95" s="4">
        <f t="shared" si="84"/>
        <v>0.72653234100131292</v>
      </c>
      <c r="AP95" s="4">
        <f t="shared" si="84"/>
        <v>0.72653234100131292</v>
      </c>
      <c r="AQ95" s="4">
        <f t="shared" si="84"/>
        <v>0.72653234100131292</v>
      </c>
      <c r="AR95" s="4">
        <f t="shared" si="84"/>
        <v>0.72653234100131292</v>
      </c>
      <c r="AS95" s="4">
        <f t="shared" si="84"/>
        <v>0.72653234100131292</v>
      </c>
      <c r="AT95" s="4">
        <f t="shared" si="84"/>
        <v>0.72653234100131292</v>
      </c>
      <c r="AU95" s="4">
        <f t="shared" si="84"/>
        <v>0.72653234100131292</v>
      </c>
    </row>
    <row r="96" spans="1:47" s="19" customFormat="1">
      <c r="A96" s="120"/>
      <c r="B96" s="120"/>
      <c r="C96" s="37" t="s">
        <v>159</v>
      </c>
      <c r="D96" s="87" t="s">
        <v>63</v>
      </c>
      <c r="E96" s="87"/>
      <c r="F96" s="101" t="s">
        <v>160</v>
      </c>
      <c r="G96" s="101">
        <f t="shared" si="80"/>
        <v>0.7348191153064404</v>
      </c>
      <c r="H96" s="56">
        <f t="shared" ref="H96:Q96" si="91">H81/H79</f>
        <v>0.91556387519150906</v>
      </c>
      <c r="I96" s="56">
        <f t="shared" si="91"/>
        <v>0.86540861948588332</v>
      </c>
      <c r="J96" s="56">
        <f t="shared" si="91"/>
        <v>0.74028566092661652</v>
      </c>
      <c r="K96" s="56">
        <f t="shared" si="91"/>
        <v>0.95236026570129118</v>
      </c>
      <c r="L96" s="56">
        <f t="shared" si="91"/>
        <v>0.5846120611032154</v>
      </c>
      <c r="M96" s="56" t="e">
        <f t="shared" si="91"/>
        <v>#DIV/0!</v>
      </c>
      <c r="N96" s="56">
        <f t="shared" si="91"/>
        <v>0.898460177012536</v>
      </c>
      <c r="O96" s="56">
        <f t="shared" si="91"/>
        <v>0.8299640254649332</v>
      </c>
      <c r="P96" s="56">
        <f t="shared" si="91"/>
        <v>0.6604448029996417</v>
      </c>
      <c r="Q96" s="56">
        <f t="shared" si="91"/>
        <v>0.35615075505030336</v>
      </c>
      <c r="R96" s="38">
        <f t="shared" si="82"/>
        <v>0.7348191153064404</v>
      </c>
      <c r="S96" s="38">
        <f t="shared" si="82"/>
        <v>0.7348191153064404</v>
      </c>
      <c r="T96" s="38">
        <f t="shared" si="82"/>
        <v>0.7348191153064404</v>
      </c>
      <c r="U96" s="38">
        <f t="shared" si="82"/>
        <v>0.7348191153064404</v>
      </c>
      <c r="V96" s="38">
        <f t="shared" si="82"/>
        <v>0.7348191153064404</v>
      </c>
      <c r="W96" s="38">
        <f t="shared" si="82"/>
        <v>0.7348191153064404</v>
      </c>
      <c r="X96" s="38">
        <f t="shared" si="82"/>
        <v>0.7348191153064404</v>
      </c>
      <c r="Y96" s="38">
        <f t="shared" si="82"/>
        <v>0.7348191153064404</v>
      </c>
      <c r="Z96" s="38">
        <f t="shared" si="82"/>
        <v>0.7348191153064404</v>
      </c>
      <c r="AA96" s="38">
        <f t="shared" si="82"/>
        <v>0.7348191153064404</v>
      </c>
      <c r="AB96" s="38">
        <f t="shared" si="83"/>
        <v>0.7348191153064404</v>
      </c>
      <c r="AC96" s="38">
        <f t="shared" si="83"/>
        <v>0.7348191153064404</v>
      </c>
      <c r="AD96" s="38">
        <f t="shared" si="83"/>
        <v>0.7348191153064404</v>
      </c>
      <c r="AE96" s="38">
        <f t="shared" si="83"/>
        <v>0.7348191153064404</v>
      </c>
      <c r="AF96" s="38">
        <f t="shared" si="83"/>
        <v>0.7348191153064404</v>
      </c>
      <c r="AG96" s="38">
        <f t="shared" si="83"/>
        <v>0.7348191153064404</v>
      </c>
      <c r="AH96" s="38">
        <f t="shared" si="83"/>
        <v>0.7348191153064404</v>
      </c>
      <c r="AI96" s="38">
        <f t="shared" si="83"/>
        <v>0.7348191153064404</v>
      </c>
      <c r="AJ96" s="38">
        <f t="shared" si="83"/>
        <v>0.7348191153064404</v>
      </c>
      <c r="AK96" s="38">
        <f t="shared" si="83"/>
        <v>0.7348191153064404</v>
      </c>
      <c r="AL96" s="38">
        <f t="shared" si="84"/>
        <v>0.7348191153064404</v>
      </c>
      <c r="AM96" s="38">
        <f t="shared" si="84"/>
        <v>0.7348191153064404</v>
      </c>
      <c r="AN96" s="38">
        <f t="shared" si="84"/>
        <v>0.7348191153064404</v>
      </c>
      <c r="AO96" s="38">
        <f t="shared" si="84"/>
        <v>0.7348191153064404</v>
      </c>
      <c r="AP96" s="38">
        <f t="shared" si="84"/>
        <v>0.7348191153064404</v>
      </c>
      <c r="AQ96" s="38">
        <f t="shared" si="84"/>
        <v>0.7348191153064404</v>
      </c>
      <c r="AR96" s="38">
        <f t="shared" si="84"/>
        <v>0.7348191153064404</v>
      </c>
      <c r="AS96" s="38">
        <f t="shared" si="84"/>
        <v>0.7348191153064404</v>
      </c>
      <c r="AT96" s="38">
        <f t="shared" si="84"/>
        <v>0.7348191153064404</v>
      </c>
      <c r="AU96" s="38">
        <f t="shared" si="84"/>
        <v>0.7348191153064404</v>
      </c>
    </row>
    <row r="98" spans="1:47">
      <c r="N98" s="106"/>
      <c r="O98" s="106"/>
      <c r="P98" s="106"/>
      <c r="Q98" s="106"/>
      <c r="R98" s="106"/>
    </row>
    <row r="99" spans="1:47">
      <c r="P99" s="106"/>
      <c r="Q99" s="106"/>
      <c r="R99" s="106"/>
    </row>
    <row r="100" spans="1:47" ht="22.75" customHeight="1">
      <c r="A100" s="62" t="s">
        <v>0</v>
      </c>
      <c r="B100" s="62" t="s">
        <v>1</v>
      </c>
      <c r="C100" s="64" t="s">
        <v>2</v>
      </c>
      <c r="D100" s="91" t="s">
        <v>3</v>
      </c>
      <c r="E100" s="91" t="s">
        <v>4</v>
      </c>
      <c r="F100" s="92" t="s">
        <v>5</v>
      </c>
      <c r="G100" s="92" t="s">
        <v>6</v>
      </c>
      <c r="H100" s="34">
        <f t="shared" ref="H100:P100" si="92">I100-1</f>
        <v>2015</v>
      </c>
      <c r="I100" s="34">
        <f t="shared" si="92"/>
        <v>2016</v>
      </c>
      <c r="J100" s="34">
        <f t="shared" si="92"/>
        <v>2017</v>
      </c>
      <c r="K100" s="34">
        <f t="shared" si="92"/>
        <v>2018</v>
      </c>
      <c r="L100" s="34">
        <f t="shared" si="92"/>
        <v>2019</v>
      </c>
      <c r="M100" s="34">
        <f t="shared" si="92"/>
        <v>2020</v>
      </c>
      <c r="N100" s="34">
        <f t="shared" si="92"/>
        <v>2021</v>
      </c>
      <c r="O100" s="34">
        <f t="shared" si="92"/>
        <v>2022</v>
      </c>
      <c r="P100" s="34">
        <f t="shared" si="92"/>
        <v>2023</v>
      </c>
      <c r="Q100" s="34">
        <f>ref!B4</f>
        <v>2024</v>
      </c>
      <c r="R100" s="35">
        <f t="shared" ref="R100:AU100" si="93">Q100+1</f>
        <v>2025</v>
      </c>
      <c r="S100" s="35">
        <f t="shared" si="93"/>
        <v>2026</v>
      </c>
      <c r="T100" s="35">
        <f t="shared" si="93"/>
        <v>2027</v>
      </c>
      <c r="U100" s="35">
        <f t="shared" si="93"/>
        <v>2028</v>
      </c>
      <c r="V100" s="35">
        <f t="shared" si="93"/>
        <v>2029</v>
      </c>
      <c r="W100" s="35">
        <f t="shared" si="93"/>
        <v>2030</v>
      </c>
      <c r="X100" s="35">
        <f t="shared" si="93"/>
        <v>2031</v>
      </c>
      <c r="Y100" s="35">
        <f t="shared" si="93"/>
        <v>2032</v>
      </c>
      <c r="Z100" s="35">
        <f t="shared" si="93"/>
        <v>2033</v>
      </c>
      <c r="AA100" s="35">
        <f t="shared" si="93"/>
        <v>2034</v>
      </c>
      <c r="AB100" s="35">
        <f t="shared" si="93"/>
        <v>2035</v>
      </c>
      <c r="AC100" s="35">
        <f t="shared" si="93"/>
        <v>2036</v>
      </c>
      <c r="AD100" s="35">
        <f t="shared" si="93"/>
        <v>2037</v>
      </c>
      <c r="AE100" s="35">
        <f t="shared" si="93"/>
        <v>2038</v>
      </c>
      <c r="AF100" s="35">
        <f t="shared" si="93"/>
        <v>2039</v>
      </c>
      <c r="AG100" s="35">
        <f t="shared" si="93"/>
        <v>2040</v>
      </c>
      <c r="AH100" s="35">
        <f t="shared" si="93"/>
        <v>2041</v>
      </c>
      <c r="AI100" s="35">
        <f t="shared" si="93"/>
        <v>2042</v>
      </c>
      <c r="AJ100" s="35">
        <f t="shared" si="93"/>
        <v>2043</v>
      </c>
      <c r="AK100" s="35">
        <f t="shared" si="93"/>
        <v>2044</v>
      </c>
      <c r="AL100" s="35">
        <f t="shared" si="93"/>
        <v>2045</v>
      </c>
      <c r="AM100" s="35">
        <f t="shared" si="93"/>
        <v>2046</v>
      </c>
      <c r="AN100" s="35">
        <f t="shared" si="93"/>
        <v>2047</v>
      </c>
      <c r="AO100" s="35">
        <f t="shared" si="93"/>
        <v>2048</v>
      </c>
      <c r="AP100" s="35">
        <f t="shared" si="93"/>
        <v>2049</v>
      </c>
      <c r="AQ100" s="35">
        <f t="shared" si="93"/>
        <v>2050</v>
      </c>
      <c r="AR100" s="35">
        <f t="shared" si="93"/>
        <v>2051</v>
      </c>
      <c r="AS100" s="35">
        <f t="shared" si="93"/>
        <v>2052</v>
      </c>
      <c r="AT100" s="35">
        <f t="shared" si="93"/>
        <v>2053</v>
      </c>
      <c r="AU100" s="35">
        <f t="shared" si="93"/>
        <v>2054</v>
      </c>
    </row>
    <row r="101" spans="1:47">
      <c r="A101" s="122" t="s">
        <v>161</v>
      </c>
      <c r="B101" s="122" t="s">
        <v>162</v>
      </c>
      <c r="C101" s="6" t="s">
        <v>163</v>
      </c>
      <c r="D101" s="93" t="s">
        <v>75</v>
      </c>
      <c r="E101" s="93"/>
      <c r="F101" s="94" t="s">
        <v>164</v>
      </c>
      <c r="G101" s="94"/>
      <c r="H101" s="30">
        <f>VLOOKUP($F101,raw_data!$1:$1048576,MATCH(H$1,raw_data!$1:$1,0),FALSE)</f>
        <v>7.0546737213403885E-4</v>
      </c>
      <c r="I101" s="30">
        <f>VLOOKUP($F101,raw_data!$1:$1048576,MATCH(I$1,raw_data!$1:$1,0),FALSE)</f>
        <v>7.217610970768675E-4</v>
      </c>
      <c r="J101" s="30">
        <f>VLOOKUP($F101,raw_data!$1:$1048576,MATCH(J$1,raw_data!$1:$1,0),FALSE)</f>
        <v>6.6093853271645734E-4</v>
      </c>
      <c r="K101" s="30">
        <f>VLOOKUP($F101,raw_data!$1:$1048576,MATCH(K$1,raw_data!$1:$1,0),FALSE)</f>
        <v>7.1658903618774627E-4</v>
      </c>
      <c r="L101" s="30">
        <f>VLOOKUP($F101,raw_data!$1:$1048576,MATCH(L$1,raw_data!$1:$1,0),FALSE)</f>
        <v>6.1900340451872485E-4</v>
      </c>
      <c r="M101" s="30">
        <f>VLOOKUP($F101,raw_data!$1:$1048576,MATCH(M$1,raw_data!$1:$1,0),FALSE)</f>
        <v>1.0277492291880779E-3</v>
      </c>
      <c r="N101" s="30">
        <f>VLOOKUP($F101,raw_data!$1:$1048576,MATCH(N$1,raw_data!$1:$1,0),FALSE)</f>
        <v>8.0710250201775622E-4</v>
      </c>
      <c r="O101" s="30">
        <f>VLOOKUP($F101,raw_data!$1:$1048576,MATCH(O$1,raw_data!$1:$1,0),FALSE)</f>
        <v>5.0037528146109581E-4</v>
      </c>
      <c r="P101" s="30">
        <f>VLOOKUP($F101,raw_data!$1:$1048576,MATCH(P$1,raw_data!$1:$1,0),FALSE)</f>
        <v>5.3879310344827585E-4</v>
      </c>
      <c r="Q101" s="30">
        <f>VLOOKUP($F101,raw_data!$1:$1048576,MATCH(Q$1,raw_data!$1:$1,0),FALSE)</f>
        <v>5.9177810230125324E-4</v>
      </c>
      <c r="R101" s="30">
        <f t="shared" ref="R101:AU101" si="94">0.0021*R20^(-0.183)*$G$103</f>
        <v>5.9361506742254197E-4</v>
      </c>
      <c r="S101" s="30">
        <f t="shared" si="94"/>
        <v>5.8298808552426985E-4</v>
      </c>
      <c r="T101" s="30">
        <f t="shared" si="94"/>
        <v>5.7217612297245219E-4</v>
      </c>
      <c r="U101" s="30">
        <f t="shared" si="94"/>
        <v>5.6205515948924483E-4</v>
      </c>
      <c r="V101" s="30">
        <f t="shared" si="94"/>
        <v>5.5221787356679434E-4</v>
      </c>
      <c r="W101" s="30">
        <f t="shared" si="94"/>
        <v>5.4213647555400419E-4</v>
      </c>
      <c r="X101" s="30">
        <f t="shared" si="94"/>
        <v>5.3407822168383026E-4</v>
      </c>
      <c r="Y101" s="30">
        <f t="shared" si="94"/>
        <v>5.2588497684401497E-4</v>
      </c>
      <c r="Z101" s="30">
        <f t="shared" si="94"/>
        <v>5.1728328094055717E-4</v>
      </c>
      <c r="AA101" s="30">
        <f t="shared" si="94"/>
        <v>5.0862620510874713E-4</v>
      </c>
      <c r="AB101" s="30">
        <f t="shared" si="94"/>
        <v>4.9991553887382661E-4</v>
      </c>
      <c r="AC101" s="30">
        <f t="shared" si="94"/>
        <v>4.9254038894457205E-4</v>
      </c>
      <c r="AD101" s="30">
        <f t="shared" si="94"/>
        <v>4.8579358095720513E-4</v>
      </c>
      <c r="AE101" s="30">
        <f t="shared" si="94"/>
        <v>4.7956645958387775E-4</v>
      </c>
      <c r="AF101" s="30">
        <f t="shared" si="94"/>
        <v>4.7380262486126261E-4</v>
      </c>
      <c r="AG101" s="30">
        <f t="shared" si="94"/>
        <v>4.6853090584967087E-4</v>
      </c>
      <c r="AH101" s="30">
        <f t="shared" si="94"/>
        <v>4.6354682668310414E-4</v>
      </c>
      <c r="AI101" s="30">
        <f t="shared" si="94"/>
        <v>4.5889143149806689E-4</v>
      </c>
      <c r="AJ101" s="30">
        <f t="shared" si="94"/>
        <v>4.5572525933076371E-4</v>
      </c>
      <c r="AK101" s="30">
        <f t="shared" si="94"/>
        <v>4.5250160464052955E-4</v>
      </c>
      <c r="AL101" s="30">
        <f t="shared" si="94"/>
        <v>4.4931584529473323E-4</v>
      </c>
      <c r="AM101" s="30">
        <f t="shared" si="94"/>
        <v>4.4616381395681923E-4</v>
      </c>
      <c r="AN101" s="30">
        <f t="shared" si="94"/>
        <v>4.4305457758530718E-4</v>
      </c>
      <c r="AO101" s="30">
        <f t="shared" si="94"/>
        <v>4.3993968145181677E-4</v>
      </c>
      <c r="AP101" s="30">
        <f t="shared" si="94"/>
        <v>4.3681981200102677E-4</v>
      </c>
      <c r="AQ101" s="30">
        <f t="shared" si="94"/>
        <v>4.3377396438723937E-4</v>
      </c>
      <c r="AR101" s="30">
        <f t="shared" si="94"/>
        <v>4.3070590172709434E-4</v>
      </c>
      <c r="AS101" s="30">
        <f t="shared" si="94"/>
        <v>4.2765546834286941E-4</v>
      </c>
      <c r="AT101" s="30">
        <f t="shared" si="94"/>
        <v>4.2466697534066921E-4</v>
      </c>
      <c r="AU101" s="30">
        <f t="shared" si="94"/>
        <v>4.2167086170722063E-4</v>
      </c>
    </row>
    <row r="102" spans="1:47">
      <c r="A102" s="119"/>
      <c r="B102" s="119"/>
      <c r="C102" s="6" t="s">
        <v>165</v>
      </c>
      <c r="D102" s="93" t="s">
        <v>75</v>
      </c>
      <c r="E102" s="93"/>
      <c r="F102" s="95" t="s">
        <v>83</v>
      </c>
      <c r="G102" s="95"/>
      <c r="H102" s="52">
        <f t="shared" ref="H102:Q102" si="95">0.0021*H20^(-0.183)</f>
        <v>4.9023248273792933E-4</v>
      </c>
      <c r="I102" s="52">
        <f t="shared" si="95"/>
        <v>4.9228523527670011E-4</v>
      </c>
      <c r="J102" s="52">
        <f t="shared" si="95"/>
        <v>4.8441801050451281E-4</v>
      </c>
      <c r="K102" s="52">
        <f t="shared" si="95"/>
        <v>4.9163777515094111E-4</v>
      </c>
      <c r="L102" s="52">
        <f t="shared" si="95"/>
        <v>4.7864180920702758E-4</v>
      </c>
      <c r="M102" s="52">
        <f t="shared" si="95"/>
        <v>5.9620366987717295E-4</v>
      </c>
      <c r="N102" s="52">
        <f t="shared" si="95"/>
        <v>5.0245683278157859E-4</v>
      </c>
      <c r="O102" s="52">
        <f t="shared" si="95"/>
        <v>4.6036462616571601E-4</v>
      </c>
      <c r="P102" s="52">
        <f t="shared" si="95"/>
        <v>4.6663900422924838E-4</v>
      </c>
      <c r="Q102" s="52">
        <f t="shared" si="95"/>
        <v>4.420616328496074E-4</v>
      </c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>
      <c r="A103" s="119"/>
      <c r="B103" s="119"/>
      <c r="C103" s="6" t="s">
        <v>166</v>
      </c>
      <c r="D103" s="93" t="s">
        <v>63</v>
      </c>
      <c r="E103" s="93"/>
      <c r="F103" s="96" t="s">
        <v>85</v>
      </c>
      <c r="G103" s="96">
        <f>SUMIF($H$153:$Q$153,"O",H103:Q103)/COUNTIFS($H$153:$Q$153,"O",H103:Q103,"&lt;&gt;0")</f>
        <v>1.3631608177677823</v>
      </c>
      <c r="H103" s="53">
        <f t="shared" ref="H103:Q103" si="96">H101/H102</f>
        <v>1.4390465686688712</v>
      </c>
      <c r="I103" s="53">
        <f t="shared" si="96"/>
        <v>1.4661441078385893</v>
      </c>
      <c r="J103" s="53">
        <f t="shared" si="96"/>
        <v>1.3643971082497564</v>
      </c>
      <c r="K103" s="53">
        <f t="shared" si="96"/>
        <v>1.4575548755742809</v>
      </c>
      <c r="L103" s="53">
        <f t="shared" si="96"/>
        <v>1.2932497592390357</v>
      </c>
      <c r="M103" s="53">
        <f t="shared" si="96"/>
        <v>1.723822380026292</v>
      </c>
      <c r="N103" s="53">
        <f t="shared" si="96"/>
        <v>1.6063121234707325</v>
      </c>
      <c r="O103" s="53">
        <f t="shared" si="96"/>
        <v>1.0869107942298271</v>
      </c>
      <c r="P103" s="53">
        <f t="shared" si="96"/>
        <v>1.1546250925556576</v>
      </c>
      <c r="Q103" s="53">
        <f t="shared" si="96"/>
        <v>1.3386778184900305</v>
      </c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>
      <c r="A104" s="119"/>
      <c r="B104" s="119"/>
      <c r="C104" s="5" t="s">
        <v>167</v>
      </c>
      <c r="D104" s="97" t="s">
        <v>9</v>
      </c>
      <c r="E104" s="97"/>
      <c r="F104" s="95" t="s">
        <v>168</v>
      </c>
      <c r="G104" s="95"/>
      <c r="H104" s="31">
        <f>VLOOKUP($F104,raw_data!$1:$1048576,MATCH(H$1,raw_data!$1:$1,0),FALSE)</f>
        <v>2</v>
      </c>
      <c r="I104" s="31">
        <f>VLOOKUP($F104,raw_data!$1:$1048576,MATCH(I$1,raw_data!$1:$1,0),FALSE)</f>
        <v>2</v>
      </c>
      <c r="J104" s="31">
        <f>VLOOKUP($F104,raw_data!$1:$1048576,MATCH(J$1,raw_data!$1:$1,0),FALSE)</f>
        <v>2</v>
      </c>
      <c r="K104" s="31">
        <f>VLOOKUP($F104,raw_data!$1:$1048576,MATCH(K$1,raw_data!$1:$1,0),FALSE)</f>
        <v>2</v>
      </c>
      <c r="L104" s="31">
        <f>VLOOKUP($F104,raw_data!$1:$1048576,MATCH(L$1,raw_data!$1:$1,0),FALSE)</f>
        <v>2</v>
      </c>
      <c r="M104" s="31">
        <f>VLOOKUP($F104,raw_data!$1:$1048576,MATCH(M$1,raw_data!$1:$1,0),FALSE)</f>
        <v>1</v>
      </c>
      <c r="N104" s="31">
        <f>VLOOKUP($F104,raw_data!$1:$1048576,MATCH(N$1,raw_data!$1:$1,0),FALSE)</f>
        <v>2</v>
      </c>
      <c r="O104" s="31">
        <f>VLOOKUP($F104,raw_data!$1:$1048576,MATCH(O$1,raw_data!$1:$1,0),FALSE)</f>
        <v>2</v>
      </c>
      <c r="P104" s="31">
        <f>VLOOKUP($F104,raw_data!$1:$1048576,MATCH(P$1,raw_data!$1:$1,0),FALSE)</f>
        <v>2</v>
      </c>
      <c r="Q104" s="31">
        <f>VLOOKUP($F104,raw_data!$1:$1048576,MATCH(Q$1,raw_data!$1:$1,0),FALSE)</f>
        <v>2.952380952380953</v>
      </c>
      <c r="R104" s="41">
        <f t="shared" ref="R104:AU104" si="97">R20*R101</f>
        <v>3.2149495969019886</v>
      </c>
      <c r="S104" s="41">
        <f t="shared" si="97"/>
        <v>3.4849702709021684</v>
      </c>
      <c r="T104" s="41">
        <f t="shared" si="97"/>
        <v>3.7887423938257991</v>
      </c>
      <c r="U104" s="41">
        <f t="shared" si="97"/>
        <v>4.1029699784002345</v>
      </c>
      <c r="V104" s="41">
        <f t="shared" si="97"/>
        <v>4.4395006058954172</v>
      </c>
      <c r="W104" s="41">
        <f t="shared" si="97"/>
        <v>4.820123235615787</v>
      </c>
      <c r="X104" s="41">
        <f t="shared" si="97"/>
        <v>5.1534023395934856</v>
      </c>
      <c r="Y104" s="41">
        <f t="shared" si="97"/>
        <v>5.5216521263767753</v>
      </c>
      <c r="Z104" s="41">
        <f t="shared" si="97"/>
        <v>5.9435386829907344</v>
      </c>
      <c r="AA104" s="41">
        <f t="shared" si="97"/>
        <v>6.4086778882214421</v>
      </c>
      <c r="AB104" s="41">
        <f t="shared" si="97"/>
        <v>6.9224751681925989</v>
      </c>
      <c r="AC104" s="41">
        <f t="shared" si="97"/>
        <v>7.3973928002561085</v>
      </c>
      <c r="AD104" s="41">
        <f t="shared" si="97"/>
        <v>7.8672194510233622</v>
      </c>
      <c r="AE104" s="41">
        <f t="shared" si="97"/>
        <v>8.3336569645288741</v>
      </c>
      <c r="AF104" s="41">
        <f t="shared" si="97"/>
        <v>8.7958967376802484</v>
      </c>
      <c r="AG104" s="41">
        <f t="shared" si="97"/>
        <v>9.2464284027217261</v>
      </c>
      <c r="AH104" s="41">
        <f t="shared" si="97"/>
        <v>9.6986185524425199</v>
      </c>
      <c r="AI104" s="41">
        <f t="shared" si="97"/>
        <v>10.145668360254039</v>
      </c>
      <c r="AJ104" s="41">
        <f t="shared" si="97"/>
        <v>10.464167350464011</v>
      </c>
      <c r="AK104" s="41">
        <f t="shared" si="97"/>
        <v>10.80111447614242</v>
      </c>
      <c r="AL104" s="41">
        <f t="shared" si="97"/>
        <v>11.147239545309763</v>
      </c>
      <c r="AM104" s="41">
        <f t="shared" si="97"/>
        <v>11.503155614875476</v>
      </c>
      <c r="AN104" s="41">
        <f t="shared" si="97"/>
        <v>11.867961841186215</v>
      </c>
      <c r="AO104" s="41">
        <f t="shared" si="97"/>
        <v>12.247733313575495</v>
      </c>
      <c r="AP104" s="41">
        <f t="shared" si="97"/>
        <v>12.643129209061522</v>
      </c>
      <c r="AQ104" s="41">
        <f t="shared" si="97"/>
        <v>13.044320057407157</v>
      </c>
      <c r="AR104" s="41">
        <f t="shared" si="97"/>
        <v>13.464304285812368</v>
      </c>
      <c r="AS104" s="41">
        <f t="shared" si="97"/>
        <v>13.898401275656408</v>
      </c>
      <c r="AT104" s="41">
        <f t="shared" si="97"/>
        <v>14.340411202561008</v>
      </c>
      <c r="AU104" s="41">
        <f t="shared" si="97"/>
        <v>14.8009443512593</v>
      </c>
    </row>
    <row r="105" spans="1:47">
      <c r="A105" s="119"/>
      <c r="B105" s="119"/>
      <c r="C105" s="5" t="s">
        <v>169</v>
      </c>
      <c r="D105" s="97" t="s">
        <v>9</v>
      </c>
      <c r="E105" s="97"/>
      <c r="F105" s="95" t="s">
        <v>170</v>
      </c>
      <c r="G105" s="95"/>
      <c r="H105" s="31">
        <f>VLOOKUP($F105,raw_data!$1:$1048576,MATCH(H$1,raw_data!$1:$1,0),FALSE)</f>
        <v>1</v>
      </c>
      <c r="I105" s="31">
        <f>VLOOKUP($F105,raw_data!$1:$1048576,MATCH(I$1,raw_data!$1:$1,0),FALSE)</f>
        <v>1</v>
      </c>
      <c r="J105" s="31">
        <f>VLOOKUP($F105,raw_data!$1:$1048576,MATCH(J$1,raw_data!$1:$1,0),FALSE)</f>
        <v>1</v>
      </c>
      <c r="K105" s="31">
        <f>VLOOKUP($F105,raw_data!$1:$1048576,MATCH(K$1,raw_data!$1:$1,0),FALSE)</f>
        <v>1</v>
      </c>
      <c r="L105" s="31">
        <f>VLOOKUP($F105,raw_data!$1:$1048576,MATCH(L$1,raw_data!$1:$1,0),FALSE)</f>
        <v>1</v>
      </c>
      <c r="M105" s="31">
        <f>VLOOKUP($F105,raw_data!$1:$1048576,MATCH(M$1,raw_data!$1:$1,0),FALSE)</f>
        <v>1</v>
      </c>
      <c r="N105" s="31">
        <f>VLOOKUP($F105,raw_data!$1:$1048576,MATCH(N$1,raw_data!$1:$1,0),FALSE)</f>
        <v>1</v>
      </c>
      <c r="O105" s="31">
        <f>VLOOKUP($F105,raw_data!$1:$1048576,MATCH(O$1,raw_data!$1:$1,0),FALSE)</f>
        <v>1.6190476190476191</v>
      </c>
      <c r="P105" s="31">
        <f>VLOOKUP($F105,raw_data!$1:$1048576,MATCH(P$1,raw_data!$1:$1,0),FALSE)</f>
        <v>1</v>
      </c>
      <c r="Q105" s="31">
        <f>VLOOKUP($F105,raw_data!$1:$1048576,MATCH(Q$1,raw_data!$1:$1,0),FALSE)</f>
        <v>2</v>
      </c>
      <c r="R105" s="41">
        <f t="shared" ref="R105:AU105" si="98">R104*R127</f>
        <v>1.7215536551152582</v>
      </c>
      <c r="S105" s="41">
        <f t="shared" si="98"/>
        <v>1.8661453708701932</v>
      </c>
      <c r="T105" s="41">
        <f t="shared" si="98"/>
        <v>2.0288104431454275</v>
      </c>
      <c r="U105" s="41">
        <f t="shared" si="98"/>
        <v>2.1970742464981896</v>
      </c>
      <c r="V105" s="41">
        <f t="shared" si="98"/>
        <v>2.3772809696085133</v>
      </c>
      <c r="W105" s="41">
        <f t="shared" si="98"/>
        <v>2.5810982487490985</v>
      </c>
      <c r="X105" s="41">
        <f t="shared" si="98"/>
        <v>2.7595638334597372</v>
      </c>
      <c r="Y105" s="41">
        <f t="shared" si="98"/>
        <v>2.9567556547694984</v>
      </c>
      <c r="Z105" s="41">
        <f t="shared" si="98"/>
        <v>3.1826691012143926</v>
      </c>
      <c r="AA105" s="41">
        <f t="shared" si="98"/>
        <v>3.4317436433701909</v>
      </c>
      <c r="AB105" s="41">
        <f t="shared" si="98"/>
        <v>3.7068737997418428</v>
      </c>
      <c r="AC105" s="41">
        <f t="shared" si="98"/>
        <v>3.9611845317500447</v>
      </c>
      <c r="AD105" s="41">
        <f t="shared" si="98"/>
        <v>4.2127691253867035</v>
      </c>
      <c r="AE105" s="41">
        <f t="shared" si="98"/>
        <v>4.4625388906832031</v>
      </c>
      <c r="AF105" s="41">
        <f t="shared" si="98"/>
        <v>4.7100608337255521</v>
      </c>
      <c r="AG105" s="41">
        <f t="shared" si="98"/>
        <v>4.9513132737155043</v>
      </c>
      <c r="AH105" s="41">
        <f t="shared" si="98"/>
        <v>5.1934538055014778</v>
      </c>
      <c r="AI105" s="41">
        <f t="shared" si="98"/>
        <v>5.432841767103775</v>
      </c>
      <c r="AJ105" s="41">
        <f t="shared" si="98"/>
        <v>5.603392839280728</v>
      </c>
      <c r="AK105" s="41">
        <f t="shared" si="98"/>
        <v>5.7838225904504563</v>
      </c>
      <c r="AL105" s="41">
        <f t="shared" si="98"/>
        <v>5.9691669823271623</v>
      </c>
      <c r="AM105" s="41">
        <f t="shared" si="98"/>
        <v>6.1597542969978347</v>
      </c>
      <c r="AN105" s="41">
        <f t="shared" si="98"/>
        <v>6.3551021472158435</v>
      </c>
      <c r="AO105" s="41">
        <f t="shared" si="98"/>
        <v>6.5584636453339735</v>
      </c>
      <c r="AP105" s="41">
        <f t="shared" si="98"/>
        <v>6.7701917700135885</v>
      </c>
      <c r="AQ105" s="41">
        <f t="shared" si="98"/>
        <v>6.9850229984825409</v>
      </c>
      <c r="AR105" s="41">
        <f t="shared" si="98"/>
        <v>7.209917778854364</v>
      </c>
      <c r="AS105" s="41">
        <f t="shared" si="98"/>
        <v>7.4423697153514947</v>
      </c>
      <c r="AT105" s="41">
        <f t="shared" si="98"/>
        <v>7.6790589020165383</v>
      </c>
      <c r="AU105" s="41">
        <f t="shared" si="98"/>
        <v>7.9256669751904631</v>
      </c>
    </row>
    <row r="106" spans="1:47">
      <c r="A106" s="120"/>
      <c r="B106" s="120"/>
      <c r="C106" s="32" t="s">
        <v>171</v>
      </c>
      <c r="D106" s="98" t="s">
        <v>9</v>
      </c>
      <c r="E106" s="98"/>
      <c r="F106" s="99" t="s">
        <v>172</v>
      </c>
      <c r="G106" s="99"/>
      <c r="H106" s="110">
        <f>VLOOKUP($F106,raw_data!$1:$1048576,MATCH(H$1,raw_data!$1:$1,0),FALSE)</f>
        <v>1</v>
      </c>
      <c r="I106" s="110">
        <f>VLOOKUP($F106,raw_data!$1:$1048576,MATCH(I$1,raw_data!$1:$1,0),FALSE)</f>
        <v>1</v>
      </c>
      <c r="J106" s="110">
        <f>VLOOKUP($F106,raw_data!$1:$1048576,MATCH(J$1,raw_data!$1:$1,0),FALSE)</f>
        <v>1</v>
      </c>
      <c r="K106" s="110">
        <f>VLOOKUP($F106,raw_data!$1:$1048576,MATCH(K$1,raw_data!$1:$1,0),FALSE)</f>
        <v>1</v>
      </c>
      <c r="L106" s="110">
        <f>VLOOKUP($F106,raw_data!$1:$1048576,MATCH(L$1,raw_data!$1:$1,0),FALSE)</f>
        <v>1</v>
      </c>
      <c r="M106" s="110">
        <f>VLOOKUP($F106,raw_data!$1:$1048576,MATCH(M$1,raw_data!$1:$1,0),FALSE)</f>
        <v>1</v>
      </c>
      <c r="N106" s="110">
        <f>VLOOKUP($F106,raw_data!$1:$1048576,MATCH(N$1,raw_data!$1:$1,0),FALSE)</f>
        <v>1</v>
      </c>
      <c r="O106" s="110">
        <f>VLOOKUP($F106,raw_data!$1:$1048576,MATCH(O$1,raw_data!$1:$1,0),FALSE)</f>
        <v>1.4761904761904761</v>
      </c>
      <c r="P106" s="110">
        <f>VLOOKUP($F106,raw_data!$1:$1048576,MATCH(P$1,raw_data!$1:$1,0),FALSE)</f>
        <v>1</v>
      </c>
      <c r="Q106" s="110">
        <f>VLOOKUP($F106,raw_data!$1:$1048576,MATCH(Q$1,raw_data!$1:$1,0),FALSE)</f>
        <v>2</v>
      </c>
      <c r="R106" s="42">
        <f t="shared" ref="R106:AU106" si="99">R104*R128</f>
        <v>1.7215536551152582</v>
      </c>
      <c r="S106" s="42">
        <f t="shared" si="99"/>
        <v>1.8661453708701932</v>
      </c>
      <c r="T106" s="42">
        <f t="shared" si="99"/>
        <v>2.0288104431454275</v>
      </c>
      <c r="U106" s="42">
        <f t="shared" si="99"/>
        <v>2.1970742464981896</v>
      </c>
      <c r="V106" s="42">
        <f t="shared" si="99"/>
        <v>2.3772809696085133</v>
      </c>
      <c r="W106" s="42">
        <f t="shared" si="99"/>
        <v>2.5810982487490985</v>
      </c>
      <c r="X106" s="42">
        <f t="shared" si="99"/>
        <v>2.7595638334597372</v>
      </c>
      <c r="Y106" s="42">
        <f t="shared" si="99"/>
        <v>2.9567556547694984</v>
      </c>
      <c r="Z106" s="42">
        <f t="shared" si="99"/>
        <v>3.1826691012143926</v>
      </c>
      <c r="AA106" s="42">
        <f t="shared" si="99"/>
        <v>3.4317436433701909</v>
      </c>
      <c r="AB106" s="42">
        <f t="shared" si="99"/>
        <v>3.7068737997418428</v>
      </c>
      <c r="AC106" s="42">
        <f t="shared" si="99"/>
        <v>3.9611845317500447</v>
      </c>
      <c r="AD106" s="42">
        <f t="shared" si="99"/>
        <v>4.2127691253867035</v>
      </c>
      <c r="AE106" s="42">
        <f t="shared" si="99"/>
        <v>4.4625388906832031</v>
      </c>
      <c r="AF106" s="42">
        <f t="shared" si="99"/>
        <v>4.7100608337255521</v>
      </c>
      <c r="AG106" s="42">
        <f t="shared" si="99"/>
        <v>4.9513132737155043</v>
      </c>
      <c r="AH106" s="42">
        <f t="shared" si="99"/>
        <v>5.1934538055014778</v>
      </c>
      <c r="AI106" s="42">
        <f t="shared" si="99"/>
        <v>5.432841767103775</v>
      </c>
      <c r="AJ106" s="42">
        <f t="shared" si="99"/>
        <v>5.603392839280728</v>
      </c>
      <c r="AK106" s="42">
        <f t="shared" si="99"/>
        <v>5.7838225904504563</v>
      </c>
      <c r="AL106" s="42">
        <f t="shared" si="99"/>
        <v>5.9691669823271623</v>
      </c>
      <c r="AM106" s="42">
        <f t="shared" si="99"/>
        <v>6.1597542969978347</v>
      </c>
      <c r="AN106" s="42">
        <f t="shared" si="99"/>
        <v>6.3551021472158435</v>
      </c>
      <c r="AO106" s="42">
        <f t="shared" si="99"/>
        <v>6.5584636453339735</v>
      </c>
      <c r="AP106" s="42">
        <f t="shared" si="99"/>
        <v>6.7701917700135885</v>
      </c>
      <c r="AQ106" s="42">
        <f t="shared" si="99"/>
        <v>6.9850229984825409</v>
      </c>
      <c r="AR106" s="42">
        <f t="shared" si="99"/>
        <v>7.209917778854364</v>
      </c>
      <c r="AS106" s="42">
        <f t="shared" si="99"/>
        <v>7.4423697153514947</v>
      </c>
      <c r="AT106" s="42">
        <f t="shared" si="99"/>
        <v>7.6790589020165383</v>
      </c>
      <c r="AU106" s="42">
        <f t="shared" si="99"/>
        <v>7.9256669751904631</v>
      </c>
    </row>
    <row r="107" spans="1:47">
      <c r="A107" s="122" t="s">
        <v>173</v>
      </c>
      <c r="B107" s="122" t="s">
        <v>174</v>
      </c>
      <c r="C107" s="6" t="s">
        <v>175</v>
      </c>
      <c r="D107" s="93" t="s">
        <v>75</v>
      </c>
      <c r="E107" s="93"/>
      <c r="F107" s="95" t="s">
        <v>176</v>
      </c>
      <c r="G107" s="95"/>
      <c r="H107" s="30">
        <f>VLOOKUP($F107,raw_data!$1:$1048576,MATCH(H$1,raw_data!$1:$1,0),FALSE)</f>
        <v>7.7468359213853609E-4</v>
      </c>
      <c r="I107" s="30">
        <f>VLOOKUP($F107,raw_data!$1:$1048576,MATCH(I$1,raw_data!$1:$1,0),FALSE)</f>
        <v>7.9626161917775869E-4</v>
      </c>
      <c r="J107" s="30">
        <f>VLOOKUP($F107,raw_data!$1:$1048576,MATCH(J$1,raw_data!$1:$1,0),FALSE)</f>
        <v>7.8528195282318849E-4</v>
      </c>
      <c r="K107" s="30">
        <f>VLOOKUP($F107,raw_data!$1:$1048576,MATCH(K$1,raw_data!$1:$1,0),FALSE)</f>
        <v>7.3568252930160838E-4</v>
      </c>
      <c r="L107" s="30">
        <f>VLOOKUP($F107,raw_data!$1:$1048576,MATCH(L$1,raw_data!$1:$1,0),FALSE)</f>
        <v>7.0640368358950627E-4</v>
      </c>
      <c r="M107" s="30">
        <f>VLOOKUP($F107,raw_data!$1:$1048576,MATCH(M$1,raw_data!$1:$1,0),FALSE)</f>
        <v>1.425510808039547E-3</v>
      </c>
      <c r="N107" s="30">
        <f>VLOOKUP($F107,raw_data!$1:$1048576,MATCH(N$1,raw_data!$1:$1,0),FALSE)</f>
        <v>7.8328674823555143E-4</v>
      </c>
      <c r="O107" s="30">
        <f>VLOOKUP($F107,raw_data!$1:$1048576,MATCH(O$1,raw_data!$1:$1,0),FALSE)</f>
        <v>6.0984158602737622E-4</v>
      </c>
      <c r="P107" s="30">
        <f>VLOOKUP($F107,raw_data!$1:$1048576,MATCH(P$1,raw_data!$1:$1,0),FALSE)</f>
        <v>6.6349596603132097E-4</v>
      </c>
      <c r="Q107" s="30">
        <f>VLOOKUP($F107,raw_data!$1:$1048576,MATCH(Q$1,raw_data!$1:$1,0),FALSE)</f>
        <v>5.898451013407873E-4</v>
      </c>
      <c r="R107" s="30">
        <f t="shared" ref="R107:AU107" si="100">0.0021*R20^(-0.183)*$G$108</f>
        <v>6.2512338238907494E-4</v>
      </c>
      <c r="S107" s="30">
        <f t="shared" si="100"/>
        <v>6.1393233412663823E-4</v>
      </c>
      <c r="T107" s="30">
        <f t="shared" si="100"/>
        <v>6.0254648667838729E-4</v>
      </c>
      <c r="U107" s="30">
        <f t="shared" si="100"/>
        <v>5.9188831562971447E-4</v>
      </c>
      <c r="V107" s="30">
        <f t="shared" si="100"/>
        <v>5.8152887937741083E-4</v>
      </c>
      <c r="W107" s="30">
        <f t="shared" si="100"/>
        <v>5.7091237388281568E-4</v>
      </c>
      <c r="X107" s="30">
        <f t="shared" si="100"/>
        <v>5.6242639838804736E-4</v>
      </c>
      <c r="Y107" s="30">
        <f t="shared" si="100"/>
        <v>5.5379826677871022E-4</v>
      </c>
      <c r="Z107" s="30">
        <f t="shared" si="100"/>
        <v>5.4474000405502459E-4</v>
      </c>
      <c r="AA107" s="30">
        <f t="shared" si="100"/>
        <v>5.3562342190848747E-4</v>
      </c>
      <c r="AB107" s="30">
        <f t="shared" si="100"/>
        <v>5.2645040485001064E-4</v>
      </c>
      <c r="AC107" s="30">
        <f t="shared" si="100"/>
        <v>5.1868379156403007E-4</v>
      </c>
      <c r="AD107" s="30">
        <f t="shared" si="100"/>
        <v>5.1157887179219036E-4</v>
      </c>
      <c r="AE107" s="30">
        <f t="shared" si="100"/>
        <v>5.050212229232966E-4</v>
      </c>
      <c r="AF107" s="30">
        <f t="shared" si="100"/>
        <v>4.9895145135739382E-4</v>
      </c>
      <c r="AG107" s="30">
        <f t="shared" si="100"/>
        <v>4.9339991636378287E-4</v>
      </c>
      <c r="AH107" s="30">
        <f t="shared" si="100"/>
        <v>4.8815128876369973E-4</v>
      </c>
      <c r="AI107" s="30">
        <f t="shared" si="100"/>
        <v>4.8324879126298052E-4</v>
      </c>
      <c r="AJ107" s="30">
        <f t="shared" si="100"/>
        <v>4.7991456279899535E-4</v>
      </c>
      <c r="AK107" s="30">
        <f t="shared" si="100"/>
        <v>4.7651980071459701E-4</v>
      </c>
      <c r="AL107" s="30">
        <f t="shared" si="100"/>
        <v>4.7316494541018437E-4</v>
      </c>
      <c r="AM107" s="30">
        <f t="shared" si="100"/>
        <v>4.6984560835240278E-4</v>
      </c>
      <c r="AN107" s="30">
        <f t="shared" si="100"/>
        <v>4.6657133776212609E-4</v>
      </c>
      <c r="AO107" s="30">
        <f t="shared" si="100"/>
        <v>4.6329110699707348E-4</v>
      </c>
      <c r="AP107" s="30">
        <f t="shared" si="100"/>
        <v>4.6000563893751367E-4</v>
      </c>
      <c r="AQ107" s="30">
        <f t="shared" si="100"/>
        <v>4.5679812169769745E-4</v>
      </c>
      <c r="AR107" s="30">
        <f t="shared" si="100"/>
        <v>4.5356721026578416E-4</v>
      </c>
      <c r="AS107" s="30">
        <f t="shared" si="100"/>
        <v>4.5035486384880573E-4</v>
      </c>
      <c r="AT107" s="30">
        <f t="shared" si="100"/>
        <v>4.4720774552869122E-4</v>
      </c>
      <c r="AU107" s="30">
        <f t="shared" si="100"/>
        <v>4.4405260208414281E-4</v>
      </c>
    </row>
    <row r="108" spans="1:47">
      <c r="A108" s="119"/>
      <c r="B108" s="119"/>
      <c r="C108" s="6" t="s">
        <v>177</v>
      </c>
      <c r="D108" s="93" t="s">
        <v>78</v>
      </c>
      <c r="E108" s="93"/>
      <c r="F108" s="96" t="s">
        <v>101</v>
      </c>
      <c r="G108" s="96">
        <f>SUMIF($H$155:$Q$155,"O",H108:Q108)/COUNTIFS($H$155:$Q$155,"O",H108:Q108,"&lt;&gt;0")</f>
        <v>1.4355156193107341</v>
      </c>
      <c r="H108" s="53">
        <f t="shared" ref="H108:Q108" si="101">H107/H102</f>
        <v>1.5802371719881929</v>
      </c>
      <c r="I108" s="53">
        <f t="shared" si="101"/>
        <v>1.6174801966794754</v>
      </c>
      <c r="J108" s="53">
        <f t="shared" si="101"/>
        <v>1.6210833119217247</v>
      </c>
      <c r="K108" s="53">
        <f t="shared" si="101"/>
        <v>1.4963913809831668</v>
      </c>
      <c r="L108" s="53">
        <f t="shared" si="101"/>
        <v>1.4758503540670944</v>
      </c>
      <c r="M108" s="53">
        <f t="shared" si="101"/>
        <v>2.3909795931535007</v>
      </c>
      <c r="N108" s="53">
        <f t="shared" si="101"/>
        <v>1.5589135168076249</v>
      </c>
      <c r="O108" s="53">
        <f t="shared" si="101"/>
        <v>1.3246925401428506</v>
      </c>
      <c r="P108" s="53">
        <f t="shared" si="101"/>
        <v>1.4218613532471913</v>
      </c>
      <c r="Q108" s="53">
        <f t="shared" si="101"/>
        <v>1.334305122881942</v>
      </c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>
      <c r="A109" s="119"/>
      <c r="B109" s="119"/>
      <c r="C109" s="5" t="s">
        <v>178</v>
      </c>
      <c r="D109" s="97" t="s">
        <v>9</v>
      </c>
      <c r="E109" s="97"/>
      <c r="F109" s="100" t="s">
        <v>179</v>
      </c>
      <c r="G109" s="100"/>
      <c r="H109" s="2">
        <f>VLOOKUP($F109,raw_data!$1:$1048576,MATCH(H$1,raw_data!$1:$1,0),FALSE)</f>
        <v>246</v>
      </c>
      <c r="I109" s="2">
        <f>VLOOKUP($F109,raw_data!$1:$1048576,MATCH(I$1,raw_data!$1:$1,0),FALSE)</f>
        <v>236</v>
      </c>
      <c r="J109" s="2">
        <f>VLOOKUP($F109,raw_data!$1:$1048576,MATCH(J$1,raw_data!$1:$1,0),FALSE)</f>
        <v>236</v>
      </c>
      <c r="K109" s="2">
        <f>VLOOKUP($F109,raw_data!$1:$1048576,MATCH(K$1,raw_data!$1:$1,0),FALSE)</f>
        <v>265.47619047619048</v>
      </c>
      <c r="L109" s="2">
        <f>VLOOKUP($F109,raw_data!$1:$1048576,MATCH(L$1,raw_data!$1:$1,0),FALSE)</f>
        <v>302.04761904761898</v>
      </c>
      <c r="M109" s="2">
        <f>VLOOKUP($F109,raw_data!$1:$1048576,MATCH(M$1,raw_data!$1:$1,0),FALSE)</f>
        <v>171</v>
      </c>
      <c r="N109" s="2">
        <f>VLOOKUP($F109,raw_data!$1:$1048576,MATCH(N$1,raw_data!$1:$1,0),FALSE)</f>
        <v>263.38095238095241</v>
      </c>
      <c r="O109" s="2">
        <f>VLOOKUP($F109,raw_data!$1:$1048576,MATCH(O$1,raw_data!$1:$1,0),FALSE)</f>
        <v>306.76190476190482</v>
      </c>
      <c r="P109" s="2">
        <f>VLOOKUP($F109,raw_data!$1:$1048576,MATCH(P$1,raw_data!$1:$1,0),FALSE)</f>
        <v>327.61904761904759</v>
      </c>
      <c r="Q109" s="2">
        <f>VLOOKUP($F109,raw_data!$1:$1048576,MATCH(Q$1,raw_data!$1:$1,0),FALSE)</f>
        <v>354.8095238095238</v>
      </c>
      <c r="R109" s="2">
        <f t="shared" ref="R109:AU109" si="102">R2*R107</f>
        <v>431.74874301513063</v>
      </c>
      <c r="S109" s="2">
        <f t="shared" si="102"/>
        <v>468.01092476131316</v>
      </c>
      <c r="T109" s="2">
        <f t="shared" si="102"/>
        <v>508.80572675811521</v>
      </c>
      <c r="U109" s="2">
        <f t="shared" si="102"/>
        <v>551.00463550350446</v>
      </c>
      <c r="V109" s="2">
        <f t="shared" si="102"/>
        <v>596.19871118890558</v>
      </c>
      <c r="W109" s="2">
        <f t="shared" si="102"/>
        <v>647.31408236089499</v>
      </c>
      <c r="X109" s="2">
        <f t="shared" si="102"/>
        <v>692.07149764175654</v>
      </c>
      <c r="Y109" s="2">
        <f t="shared" si="102"/>
        <v>741.52526908267839</v>
      </c>
      <c r="Z109" s="2">
        <f t="shared" si="102"/>
        <v>798.18214192714936</v>
      </c>
      <c r="AA109" s="2">
        <f t="shared" si="102"/>
        <v>860.64759002591074</v>
      </c>
      <c r="AB109" s="2">
        <f t="shared" si="102"/>
        <v>929.64753018232955</v>
      </c>
      <c r="AC109" s="2">
        <f t="shared" si="102"/>
        <v>993.426163252263</v>
      </c>
      <c r="AD109" s="2">
        <f t="shared" si="102"/>
        <v>1056.5211076020096</v>
      </c>
      <c r="AE109" s="2">
        <f t="shared" si="102"/>
        <v>1119.1609108341245</v>
      </c>
      <c r="AF109" s="2">
        <f t="shared" si="102"/>
        <v>1181.2369823289985</v>
      </c>
      <c r="AG109" s="2">
        <f t="shared" si="102"/>
        <v>1241.7407240540988</v>
      </c>
      <c r="AH109" s="2">
        <f t="shared" si="102"/>
        <v>1302.4671904764361</v>
      </c>
      <c r="AI109" s="2">
        <f t="shared" si="102"/>
        <v>1362.5033393397875</v>
      </c>
      <c r="AJ109" s="2">
        <f t="shared" si="102"/>
        <v>1405.275872634634</v>
      </c>
      <c r="AK109" s="2">
        <f t="shared" si="102"/>
        <v>1450.5258815661578</v>
      </c>
      <c r="AL109" s="2">
        <f t="shared" si="102"/>
        <v>1497.0084341022939</v>
      </c>
      <c r="AM109" s="2">
        <f t="shared" si="102"/>
        <v>1544.8058601651969</v>
      </c>
      <c r="AN109" s="2">
        <f t="shared" si="102"/>
        <v>1593.7971817727052</v>
      </c>
      <c r="AO109" s="2">
        <f t="shared" si="102"/>
        <v>1644.7982475421588</v>
      </c>
      <c r="AP109" s="2">
        <f t="shared" si="102"/>
        <v>1697.8975810539303</v>
      </c>
      <c r="AQ109" s="2">
        <f t="shared" si="102"/>
        <v>1751.775142509113</v>
      </c>
      <c r="AR109" s="2">
        <f t="shared" si="102"/>
        <v>1808.1765439105104</v>
      </c>
      <c r="AS109" s="2">
        <f t="shared" si="102"/>
        <v>1866.4732058216086</v>
      </c>
      <c r="AT109" s="2">
        <f t="shared" si="102"/>
        <v>1925.8325284452558</v>
      </c>
      <c r="AU109" s="2">
        <f t="shared" si="102"/>
        <v>1987.6794103555944</v>
      </c>
    </row>
    <row r="110" spans="1:47">
      <c r="A110" s="119"/>
      <c r="B110" s="119"/>
      <c r="C110" s="5" t="s">
        <v>180</v>
      </c>
      <c r="D110" s="97" t="s">
        <v>9</v>
      </c>
      <c r="E110" s="97"/>
      <c r="F110" s="100" t="s">
        <v>181</v>
      </c>
      <c r="G110" s="100"/>
      <c r="H110" s="2">
        <f>VLOOKUP($F110,raw_data!$1:$1048576,MATCH(H$1,raw_data!$1:$1,0),FALSE)</f>
        <v>167.42857142857139</v>
      </c>
      <c r="I110" s="2">
        <f>VLOOKUP($F110,raw_data!$1:$1048576,MATCH(I$1,raw_data!$1:$1,0),FALSE)</f>
        <v>139.28571428571431</v>
      </c>
      <c r="J110" s="2">
        <f>VLOOKUP($F110,raw_data!$1:$1048576,MATCH(J$1,raw_data!$1:$1,0),FALSE)</f>
        <v>156</v>
      </c>
      <c r="K110" s="2">
        <f>VLOOKUP($F110,raw_data!$1:$1048576,MATCH(K$1,raw_data!$1:$1,0),FALSE)</f>
        <v>173.8095238095238</v>
      </c>
      <c r="L110" s="2">
        <f>VLOOKUP($F110,raw_data!$1:$1048576,MATCH(L$1,raw_data!$1:$1,0),FALSE)</f>
        <v>179.38095238095241</v>
      </c>
      <c r="M110" s="2">
        <f>VLOOKUP($F110,raw_data!$1:$1048576,MATCH(M$1,raw_data!$1:$1,0),FALSE)</f>
        <v>119.5714285714286</v>
      </c>
      <c r="N110" s="2">
        <f>VLOOKUP($F110,raw_data!$1:$1048576,MATCH(N$1,raw_data!$1:$1,0),FALSE)</f>
        <v>168.71428571428569</v>
      </c>
      <c r="O110" s="2">
        <f>VLOOKUP($F110,raw_data!$1:$1048576,MATCH(O$1,raw_data!$1:$1,0),FALSE)</f>
        <v>180</v>
      </c>
      <c r="P110" s="2">
        <f>VLOOKUP($F110,raw_data!$1:$1048576,MATCH(P$1,raw_data!$1:$1,0),FALSE)</f>
        <v>160.04761904761901</v>
      </c>
      <c r="Q110" s="2">
        <f>VLOOKUP($F110,raw_data!$1:$1048576,MATCH(Q$1,raw_data!$1:$1,0),FALSE)</f>
        <v>216.38095238095241</v>
      </c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>
      <c r="A111" s="119"/>
      <c r="B111" s="119"/>
      <c r="C111" s="5" t="s">
        <v>182</v>
      </c>
      <c r="D111" s="97" t="s">
        <v>9</v>
      </c>
      <c r="E111" s="97"/>
      <c r="F111" s="100" t="s">
        <v>183</v>
      </c>
      <c r="G111" s="100"/>
      <c r="H111" s="2">
        <f>VLOOKUP($F111,raw_data!$1:$1048576,MATCH(H$1,raw_data!$1:$1,0),FALSE)</f>
        <v>188</v>
      </c>
      <c r="I111" s="2">
        <f>VLOOKUP($F111,raw_data!$1:$1048576,MATCH(I$1,raw_data!$1:$1,0),FALSE)</f>
        <v>186.14285714285711</v>
      </c>
      <c r="J111" s="2">
        <f>VLOOKUP($F111,raw_data!$1:$1048576,MATCH(J$1,raw_data!$1:$1,0),FALSE)</f>
        <v>188</v>
      </c>
      <c r="K111" s="2">
        <f>VLOOKUP($F111,raw_data!$1:$1048576,MATCH(K$1,raw_data!$1:$1,0),FALSE)</f>
        <v>188</v>
      </c>
      <c r="L111" s="2">
        <f>VLOOKUP($F111,raw_data!$1:$1048576,MATCH(L$1,raw_data!$1:$1,0),FALSE)</f>
        <v>209</v>
      </c>
      <c r="M111" s="2">
        <f>VLOOKUP($F111,raw_data!$1:$1048576,MATCH(M$1,raw_data!$1:$1,0),FALSE)</f>
        <v>144.23809523809521</v>
      </c>
      <c r="N111" s="2">
        <f>VLOOKUP($F111,raw_data!$1:$1048576,MATCH(N$1,raw_data!$1:$1,0),FALSE)</f>
        <v>176.71428571428569</v>
      </c>
      <c r="O111" s="2">
        <f>VLOOKUP($F111,raw_data!$1:$1048576,MATCH(O$1,raw_data!$1:$1,0),FALSE)</f>
        <v>235.0952380952381</v>
      </c>
      <c r="P111" s="2">
        <f>VLOOKUP($F111,raw_data!$1:$1048576,MATCH(P$1,raw_data!$1:$1,0),FALSE)</f>
        <v>223.42857142857139</v>
      </c>
      <c r="Q111" s="2">
        <f>VLOOKUP($F111,raw_data!$1:$1048576,MATCH(Q$1,raw_data!$1:$1,0),FALSE)</f>
        <v>293</v>
      </c>
      <c r="R111" s="105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>
      <c r="A112" s="119"/>
      <c r="B112" s="119"/>
      <c r="C112" s="5" t="s">
        <v>184</v>
      </c>
      <c r="D112" s="97" t="s">
        <v>9</v>
      </c>
      <c r="E112" s="97"/>
      <c r="F112" s="100" t="s">
        <v>185</v>
      </c>
      <c r="G112" s="100"/>
      <c r="H112" s="2">
        <f>VLOOKUP($F112,raw_data!$1:$1048576,MATCH(H$1,raw_data!$1:$1,0),FALSE)</f>
        <v>296</v>
      </c>
      <c r="I112" s="2">
        <f>VLOOKUP($F112,raw_data!$1:$1048576,MATCH(I$1,raw_data!$1:$1,0),FALSE)</f>
        <v>296</v>
      </c>
      <c r="J112" s="2">
        <f>VLOOKUP($F112,raw_data!$1:$1048576,MATCH(J$1,raw_data!$1:$1,0),FALSE)</f>
        <v>296</v>
      </c>
      <c r="K112" s="2">
        <f>VLOOKUP($F112,raw_data!$1:$1048576,MATCH(K$1,raw_data!$1:$1,0),FALSE)</f>
        <v>321.52380952380952</v>
      </c>
      <c r="L112" s="2">
        <f>VLOOKUP($F112,raw_data!$1:$1048576,MATCH(L$1,raw_data!$1:$1,0),FALSE)</f>
        <v>347.1904761904762</v>
      </c>
      <c r="M112" s="2">
        <f>VLOOKUP($F112,raw_data!$1:$1048576,MATCH(M$1,raw_data!$1:$1,0),FALSE)</f>
        <v>220</v>
      </c>
      <c r="N112" s="2">
        <f>VLOOKUP($F112,raw_data!$1:$1048576,MATCH(N$1,raw_data!$1:$1,0),FALSE)</f>
        <v>330.95238095238102</v>
      </c>
      <c r="O112" s="2">
        <f>VLOOKUP($F112,raw_data!$1:$1048576,MATCH(O$1,raw_data!$1:$1,0),FALSE)</f>
        <v>342.61904761904759</v>
      </c>
      <c r="P112" s="2">
        <f>VLOOKUP($F112,raw_data!$1:$1048576,MATCH(P$1,raw_data!$1:$1,0),FALSE)</f>
        <v>364.09523809523807</v>
      </c>
      <c r="Q112" s="2">
        <f>VLOOKUP($F112,raw_data!$1:$1048576,MATCH(Q$1,raw_data!$1:$1,0),FALSE)</f>
        <v>460.71428571428572</v>
      </c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>
      <c r="A113" s="119"/>
      <c r="B113" s="120"/>
      <c r="C113" s="32" t="s">
        <v>186</v>
      </c>
      <c r="D113" s="98" t="s">
        <v>63</v>
      </c>
      <c r="E113" s="98"/>
      <c r="F113" s="101" t="s">
        <v>111</v>
      </c>
      <c r="G113" s="101"/>
      <c r="H113" s="54">
        <f t="shared" ref="H113:Q113" si="103">H109/H112</f>
        <v>0.83108108108108103</v>
      </c>
      <c r="I113" s="54">
        <f t="shared" si="103"/>
        <v>0.79729729729729726</v>
      </c>
      <c r="J113" s="54">
        <f t="shared" si="103"/>
        <v>0.79729729729729726</v>
      </c>
      <c r="K113" s="54">
        <f t="shared" si="103"/>
        <v>0.82568127962085314</v>
      </c>
      <c r="L113" s="54">
        <f t="shared" si="103"/>
        <v>0.86997668358249869</v>
      </c>
      <c r="M113" s="54">
        <f t="shared" si="103"/>
        <v>0.77727272727272723</v>
      </c>
      <c r="N113" s="54">
        <f t="shared" si="103"/>
        <v>0.79582733812949635</v>
      </c>
      <c r="O113" s="54">
        <f t="shared" si="103"/>
        <v>0.89534398888116773</v>
      </c>
      <c r="P113" s="54">
        <f t="shared" si="103"/>
        <v>0.89981689772430029</v>
      </c>
      <c r="Q113" s="54">
        <f t="shared" si="103"/>
        <v>0.77012919896640819</v>
      </c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</row>
    <row r="114" spans="1:47">
      <c r="A114" s="119"/>
      <c r="B114" s="121" t="s">
        <v>187</v>
      </c>
      <c r="C114" s="33" t="s">
        <v>188</v>
      </c>
      <c r="D114" s="102" t="s">
        <v>9</v>
      </c>
      <c r="E114" s="102"/>
      <c r="F114" s="103" t="s">
        <v>189</v>
      </c>
      <c r="G114" s="103"/>
      <c r="H114" s="16">
        <f>VLOOKUP($F114,raw_data!$1:$1048576,MATCH(H$1,raw_data!$1:$1,0),FALSE)</f>
        <v>235</v>
      </c>
      <c r="I114" s="16">
        <f>VLOOKUP($F114,raw_data!$1:$1048576,MATCH(I$1,raw_data!$1:$1,0),FALSE)</f>
        <v>228</v>
      </c>
      <c r="J114" s="16">
        <f>VLOOKUP($F114,raw_data!$1:$1048576,MATCH(J$1,raw_data!$1:$1,0),FALSE)</f>
        <v>226</v>
      </c>
      <c r="K114" s="16">
        <f>VLOOKUP($F114,raw_data!$1:$1048576,MATCH(K$1,raw_data!$1:$1,0),FALSE)</f>
        <v>259</v>
      </c>
      <c r="L114" s="16">
        <f>VLOOKUP($F114,raw_data!$1:$1048576,MATCH(L$1,raw_data!$1:$1,0),FALSE)</f>
        <v>293.76190476190482</v>
      </c>
      <c r="M114" s="16">
        <f>VLOOKUP($F114,raw_data!$1:$1048576,MATCH(M$1,raw_data!$1:$1,0),FALSE)</f>
        <v>167</v>
      </c>
      <c r="N114" s="16">
        <f>VLOOKUP($F114,raw_data!$1:$1048576,MATCH(N$1,raw_data!$1:$1,0),FALSE)</f>
        <v>247.1904761904762</v>
      </c>
      <c r="O114" s="16">
        <f>VLOOKUP($F114,raw_data!$1:$1048576,MATCH(O$1,raw_data!$1:$1,0),FALSE)</f>
        <v>297.8095238095238</v>
      </c>
      <c r="P114" s="16">
        <f>VLOOKUP($F114,raw_data!$1:$1048576,MATCH(P$1,raw_data!$1:$1,0),FALSE)</f>
        <v>320.52380952380952</v>
      </c>
      <c r="Q114" s="16">
        <f>VLOOKUP($F114,raw_data!$1:$1048576,MATCH(Q$1,raw_data!$1:$1,0),FALSE)</f>
        <v>343.14285714285722</v>
      </c>
      <c r="R114" s="51">
        <f>R109*R129</f>
        <v>417.64595717070449</v>
      </c>
      <c r="S114" s="51">
        <f t="shared" ref="S114:AU114" si="104">S109*S129</f>
        <v>452.72365884209466</v>
      </c>
      <c r="T114" s="51">
        <f t="shared" si="104"/>
        <v>492.1859257350099</v>
      </c>
      <c r="U114" s="51">
        <f t="shared" si="104"/>
        <v>533.00643516243315</v>
      </c>
      <c r="V114" s="51">
        <f t="shared" si="104"/>
        <v>576.72427639170837</v>
      </c>
      <c r="W114" s="51">
        <f t="shared" si="104"/>
        <v>626.16999792450554</v>
      </c>
      <c r="X114" s="51">
        <f t="shared" si="104"/>
        <v>669.46544197124604</v>
      </c>
      <c r="Y114" s="51">
        <f t="shared" si="104"/>
        <v>717.30383882425372</v>
      </c>
      <c r="Z114" s="51">
        <f t="shared" si="104"/>
        <v>772.11005255907571</v>
      </c>
      <c r="AA114" s="51">
        <f t="shared" si="104"/>
        <v>832.53510829662048</v>
      </c>
      <c r="AB114" s="51">
        <f t="shared" si="104"/>
        <v>899.28121125015923</v>
      </c>
      <c r="AC114" s="51">
        <f t="shared" si="104"/>
        <v>960.9765576442494</v>
      </c>
      <c r="AD114" s="51">
        <f t="shared" si="104"/>
        <v>1022.010547555967</v>
      </c>
      <c r="AE114" s="51">
        <f t="shared" si="104"/>
        <v>1082.6042632322728</v>
      </c>
      <c r="AF114" s="51">
        <f t="shared" si="104"/>
        <v>1142.6526610940011</v>
      </c>
      <c r="AG114" s="51">
        <f t="shared" si="104"/>
        <v>1201.1800882932578</v>
      </c>
      <c r="AH114" s="51">
        <f t="shared" si="104"/>
        <v>1259.9229650354905</v>
      </c>
      <c r="AI114" s="51">
        <f t="shared" si="104"/>
        <v>1317.998072983167</v>
      </c>
      <c r="AJ114" s="51">
        <f t="shared" si="104"/>
        <v>1359.3734698952453</v>
      </c>
      <c r="AK114" s="51">
        <f t="shared" si="104"/>
        <v>1403.1454173483196</v>
      </c>
      <c r="AL114" s="51">
        <f t="shared" si="104"/>
        <v>1448.1096481880415</v>
      </c>
      <c r="AM114" s="51">
        <f t="shared" si="104"/>
        <v>1494.3458030843572</v>
      </c>
      <c r="AN114" s="51">
        <f t="shared" si="104"/>
        <v>1541.7368557205164</v>
      </c>
      <c r="AO114" s="51">
        <f t="shared" si="104"/>
        <v>1591.072005560809</v>
      </c>
      <c r="AP114" s="51">
        <f t="shared" si="104"/>
        <v>1642.4368846216685</v>
      </c>
      <c r="AQ114" s="51">
        <f t="shared" si="104"/>
        <v>1694.5545713272084</v>
      </c>
      <c r="AR114" s="51">
        <f t="shared" si="104"/>
        <v>1749.1136584239141</v>
      </c>
      <c r="AS114" s="51">
        <f t="shared" si="104"/>
        <v>1805.5060986049486</v>
      </c>
      <c r="AT114" s="51">
        <f t="shared" si="104"/>
        <v>1862.9264883923693</v>
      </c>
      <c r="AU114" s="51">
        <f t="shared" si="104"/>
        <v>1922.7531829950719</v>
      </c>
    </row>
    <row r="115" spans="1:47">
      <c r="A115" s="119"/>
      <c r="B115" s="119"/>
      <c r="C115" s="5" t="s">
        <v>190</v>
      </c>
      <c r="D115" s="97" t="s">
        <v>9</v>
      </c>
      <c r="E115" s="97"/>
      <c r="F115" s="100" t="s">
        <v>191</v>
      </c>
      <c r="G115" s="100"/>
      <c r="H115" s="2">
        <f>VLOOKUP($F115,raw_data!$1:$1048576,MATCH(H$1,raw_data!$1:$1,0),FALSE)</f>
        <v>155.28571428571431</v>
      </c>
      <c r="I115" s="2">
        <f>VLOOKUP($F115,raw_data!$1:$1048576,MATCH(I$1,raw_data!$1:$1,0),FALSE)</f>
        <v>128.14285714285711</v>
      </c>
      <c r="J115" s="2">
        <f>VLOOKUP($F115,raw_data!$1:$1048576,MATCH(J$1,raw_data!$1:$1,0),FALSE)</f>
        <v>148</v>
      </c>
      <c r="K115" s="2">
        <f>VLOOKUP($F115,raw_data!$1:$1048576,MATCH(K$1,raw_data!$1:$1,0),FALSE)</f>
        <v>166.33333333333329</v>
      </c>
      <c r="L115" s="2">
        <f>VLOOKUP($F115,raw_data!$1:$1048576,MATCH(L$1,raw_data!$1:$1,0),FALSE)</f>
        <v>179.28571428571431</v>
      </c>
      <c r="M115" s="2">
        <f>VLOOKUP($F115,raw_data!$1:$1048576,MATCH(M$1,raw_data!$1:$1,0),FALSE)</f>
        <v>117.6666666666667</v>
      </c>
      <c r="N115" s="2">
        <f>VLOOKUP($F115,raw_data!$1:$1048576,MATCH(N$1,raw_data!$1:$1,0),FALSE)</f>
        <v>161.95238095238099</v>
      </c>
      <c r="O115" s="2">
        <f>VLOOKUP($F115,raw_data!$1:$1048576,MATCH(O$1,raw_data!$1:$1,0),FALSE)</f>
        <v>175</v>
      </c>
      <c r="P115" s="2">
        <f>VLOOKUP($F115,raw_data!$1:$1048576,MATCH(P$1,raw_data!$1:$1,0),FALSE)</f>
        <v>155</v>
      </c>
      <c r="Q115" s="2">
        <f>VLOOKUP($F115,raw_data!$1:$1048576,MATCH(Q$1,raw_data!$1:$1,0),FALSE)</f>
        <v>210.95238095238099</v>
      </c>
      <c r="R115" s="41">
        <f t="shared" ref="R115:AU115" si="105">R114*R130</f>
        <v>258.11431262453044</v>
      </c>
      <c r="S115" s="41">
        <f t="shared" si="105"/>
        <v>279.79309748981422</v>
      </c>
      <c r="T115" s="41">
        <f t="shared" si="105"/>
        <v>304.18163931282851</v>
      </c>
      <c r="U115" s="41">
        <f t="shared" si="105"/>
        <v>329.40960465270609</v>
      </c>
      <c r="V115" s="41">
        <f t="shared" si="105"/>
        <v>356.42818425243757</v>
      </c>
      <c r="W115" s="41">
        <f t="shared" si="105"/>
        <v>386.98671883546336</v>
      </c>
      <c r="X115" s="41">
        <f t="shared" si="105"/>
        <v>413.74424776164574</v>
      </c>
      <c r="Y115" s="41">
        <f t="shared" si="105"/>
        <v>443.30942062820998</v>
      </c>
      <c r="Z115" s="41">
        <f t="shared" si="105"/>
        <v>477.1808563331046</v>
      </c>
      <c r="AA115" s="41">
        <f t="shared" si="105"/>
        <v>514.52485897269082</v>
      </c>
      <c r="AB115" s="41">
        <f t="shared" si="105"/>
        <v>555.77540668762333</v>
      </c>
      <c r="AC115" s="41">
        <f t="shared" si="105"/>
        <v>593.90447666479076</v>
      </c>
      <c r="AD115" s="41">
        <f t="shared" si="105"/>
        <v>631.62481390812843</v>
      </c>
      <c r="AE115" s="41">
        <f t="shared" si="105"/>
        <v>669.07305206924468</v>
      </c>
      <c r="AF115" s="41">
        <f t="shared" si="105"/>
        <v>706.18427192465265</v>
      </c>
      <c r="AG115" s="41">
        <f t="shared" si="105"/>
        <v>742.35549873014475</v>
      </c>
      <c r="AH115" s="41">
        <f t="shared" si="105"/>
        <v>778.65987805330337</v>
      </c>
      <c r="AI115" s="41">
        <f t="shared" si="105"/>
        <v>814.55156169381587</v>
      </c>
      <c r="AJ115" s="41">
        <f t="shared" si="105"/>
        <v>840.12245960427526</v>
      </c>
      <c r="AK115" s="41">
        <f t="shared" si="105"/>
        <v>867.17447803066079</v>
      </c>
      <c r="AL115" s="41">
        <f t="shared" si="105"/>
        <v>894.96335360007492</v>
      </c>
      <c r="AM115" s="41">
        <f t="shared" si="105"/>
        <v>923.53830598393324</v>
      </c>
      <c r="AN115" s="41">
        <f t="shared" si="105"/>
        <v>952.82701036551418</v>
      </c>
      <c r="AO115" s="41">
        <f t="shared" si="105"/>
        <v>983.31720923041189</v>
      </c>
      <c r="AP115" s="41">
        <f t="shared" si="105"/>
        <v>1015.0618250328748</v>
      </c>
      <c r="AQ115" s="41">
        <f t="shared" si="105"/>
        <v>1047.271692382513</v>
      </c>
      <c r="AR115" s="41">
        <f t="shared" si="105"/>
        <v>1080.9903984338973</v>
      </c>
      <c r="AS115" s="41">
        <f t="shared" si="105"/>
        <v>1115.8421566866377</v>
      </c>
      <c r="AT115" s="41">
        <f t="shared" si="105"/>
        <v>1151.3292102212056</v>
      </c>
      <c r="AU115" s="41">
        <f t="shared" si="105"/>
        <v>1188.3034126260013</v>
      </c>
    </row>
    <row r="116" spans="1:47">
      <c r="A116" s="119"/>
      <c r="B116" s="120"/>
      <c r="C116" s="32" t="s">
        <v>192</v>
      </c>
      <c r="D116" s="98" t="s">
        <v>9</v>
      </c>
      <c r="E116" s="98"/>
      <c r="F116" s="101" t="s">
        <v>193</v>
      </c>
      <c r="G116" s="101"/>
      <c r="H116" s="14">
        <f>VLOOKUP($F116,raw_data!$1:$1048576,MATCH(H$1,raw_data!$1:$1,0),FALSE)</f>
        <v>182.61904761904759</v>
      </c>
      <c r="I116" s="14">
        <f>VLOOKUP($F116,raw_data!$1:$1048576,MATCH(I$1,raw_data!$1:$1,0),FALSE)</f>
        <v>183.14285714285711</v>
      </c>
      <c r="J116" s="14">
        <f>VLOOKUP($F116,raw_data!$1:$1048576,MATCH(J$1,raw_data!$1:$1,0),FALSE)</f>
        <v>183</v>
      </c>
      <c r="K116" s="14">
        <f>VLOOKUP($F116,raw_data!$1:$1048576,MATCH(K$1,raw_data!$1:$1,0),FALSE)</f>
        <v>185</v>
      </c>
      <c r="L116" s="14">
        <f>VLOOKUP($F116,raw_data!$1:$1048576,MATCH(L$1,raw_data!$1:$1,0),FALSE)</f>
        <v>199</v>
      </c>
      <c r="M116" s="14">
        <f>VLOOKUP($F116,raw_data!$1:$1048576,MATCH(M$1,raw_data!$1:$1,0),FALSE)</f>
        <v>141.47619047619051</v>
      </c>
      <c r="N116" s="14">
        <f>VLOOKUP($F116,raw_data!$1:$1048576,MATCH(N$1,raw_data!$1:$1,0),FALSE)</f>
        <v>174.52380952380949</v>
      </c>
      <c r="O116" s="14">
        <f>VLOOKUP($F116,raw_data!$1:$1048576,MATCH(O$1,raw_data!$1:$1,0),FALSE)</f>
        <v>231</v>
      </c>
      <c r="P116" s="14">
        <f>VLOOKUP($F116,raw_data!$1:$1048576,MATCH(P$1,raw_data!$1:$1,0),FALSE)</f>
        <v>219.66666666666671</v>
      </c>
      <c r="Q116" s="14">
        <f>VLOOKUP($F116,raw_data!$1:$1048576,MATCH(Q$1,raw_data!$1:$1,0),FALSE)</f>
        <v>281.76190476190482</v>
      </c>
      <c r="R116" s="42">
        <f t="shared" ref="R116:AU116" si="106">R114*R131</f>
        <v>316.84182908548752</v>
      </c>
      <c r="S116" s="42">
        <f t="shared" si="106"/>
        <v>343.45308430502666</v>
      </c>
      <c r="T116" s="42">
        <f t="shared" si="106"/>
        <v>373.39063453755642</v>
      </c>
      <c r="U116" s="42">
        <f t="shared" si="106"/>
        <v>404.35859830956008</v>
      </c>
      <c r="V116" s="42">
        <f t="shared" si="106"/>
        <v>437.52458624965385</v>
      </c>
      <c r="W116" s="42">
        <f t="shared" si="106"/>
        <v>475.03595821895027</v>
      </c>
      <c r="X116" s="42">
        <f t="shared" si="106"/>
        <v>507.88149987286062</v>
      </c>
      <c r="Y116" s="42">
        <f t="shared" si="106"/>
        <v>544.17349527993974</v>
      </c>
      <c r="Z116" s="42">
        <f t="shared" si="106"/>
        <v>585.75153693662844</v>
      </c>
      <c r="AA116" s="42">
        <f t="shared" si="106"/>
        <v>631.59224209315175</v>
      </c>
      <c r="AB116" s="42">
        <f t="shared" si="106"/>
        <v>682.22832986326193</v>
      </c>
      <c r="AC116" s="42">
        <f t="shared" si="106"/>
        <v>729.03272497818114</v>
      </c>
      <c r="AD116" s="42">
        <f t="shared" si="106"/>
        <v>775.3353903529827</v>
      </c>
      <c r="AE116" s="42">
        <f t="shared" si="106"/>
        <v>821.30404724128493</v>
      </c>
      <c r="AF116" s="42">
        <f t="shared" si="106"/>
        <v>866.85900565882002</v>
      </c>
      <c r="AG116" s="42">
        <f t="shared" si="106"/>
        <v>911.26009889842419</v>
      </c>
      <c r="AH116" s="42">
        <f t="shared" si="106"/>
        <v>955.82464021192959</v>
      </c>
      <c r="AI116" s="42">
        <f t="shared" si="106"/>
        <v>999.88258716568896</v>
      </c>
      <c r="AJ116" s="42">
        <f t="shared" si="106"/>
        <v>1031.271509317766</v>
      </c>
      <c r="AK116" s="42">
        <f t="shared" si="106"/>
        <v>1064.478544260995</v>
      </c>
      <c r="AL116" s="42">
        <f t="shared" si="106"/>
        <v>1098.5900899328153</v>
      </c>
      <c r="AM116" s="42">
        <f t="shared" si="106"/>
        <v>1133.6665647213426</v>
      </c>
      <c r="AN116" s="42">
        <f t="shared" si="106"/>
        <v>1169.6191880898241</v>
      </c>
      <c r="AO116" s="42">
        <f t="shared" si="106"/>
        <v>1207.0466762415072</v>
      </c>
      <c r="AP116" s="42">
        <f t="shared" si="106"/>
        <v>1246.0139928238289</v>
      </c>
      <c r="AQ116" s="42">
        <f t="shared" si="106"/>
        <v>1285.5524174152065</v>
      </c>
      <c r="AR116" s="42">
        <f t="shared" si="106"/>
        <v>1326.942979569958</v>
      </c>
      <c r="AS116" s="42">
        <f t="shared" si="106"/>
        <v>1369.7243918805048</v>
      </c>
      <c r="AT116" s="42">
        <f t="shared" si="106"/>
        <v>1413.2856451733551</v>
      </c>
      <c r="AU116" s="42">
        <f t="shared" si="106"/>
        <v>1458.6724112143143</v>
      </c>
    </row>
    <row r="117" spans="1:47">
      <c r="A117" s="119"/>
      <c r="B117" s="121" t="s">
        <v>194</v>
      </c>
      <c r="C117" s="33" t="s">
        <v>195</v>
      </c>
      <c r="D117" s="102" t="s">
        <v>9</v>
      </c>
      <c r="E117" s="102"/>
      <c r="F117" s="103" t="s">
        <v>196</v>
      </c>
      <c r="G117" s="103"/>
      <c r="H117" s="16">
        <f>VLOOKUP($F117,raw_data!$1:$1048576,MATCH(H$1,raw_data!$1:$1,0),FALSE)</f>
        <v>20.333333333333329</v>
      </c>
      <c r="I117" s="16">
        <f>VLOOKUP($F117,raw_data!$1:$1048576,MATCH(I$1,raw_data!$1:$1,0),FALSE)</f>
        <v>14.90476190476191</v>
      </c>
      <c r="J117" s="16">
        <f>VLOOKUP($F117,raw_data!$1:$1048576,MATCH(J$1,raw_data!$1:$1,0),FALSE)</f>
        <v>10.66666666666667</v>
      </c>
      <c r="K117" s="16">
        <f>VLOOKUP($F117,raw_data!$1:$1048576,MATCH(K$1,raw_data!$1:$1,0),FALSE)</f>
        <v>8</v>
      </c>
      <c r="L117" s="16">
        <f>VLOOKUP($F117,raw_data!$1:$1048576,MATCH(L$1,raw_data!$1:$1,0),FALSE)</f>
        <v>11</v>
      </c>
      <c r="M117" s="16">
        <f>VLOOKUP($F117,raw_data!$1:$1048576,MATCH(M$1,raw_data!$1:$1,0),FALSE)</f>
        <v>3.4761904761904758</v>
      </c>
      <c r="N117" s="16">
        <f>VLOOKUP($F117,raw_data!$1:$1048576,MATCH(N$1,raw_data!$1:$1,0),FALSE)</f>
        <v>12.761904761904759</v>
      </c>
      <c r="O117" s="16">
        <f>VLOOKUP($F117,raw_data!$1:$1048576,MATCH(O$1,raw_data!$1:$1,0),FALSE)</f>
        <v>14</v>
      </c>
      <c r="P117" s="16">
        <f>VLOOKUP($F117,raw_data!$1:$1048576,MATCH(P$1,raw_data!$1:$1,0),FALSE)</f>
        <v>9</v>
      </c>
      <c r="Q117" s="16">
        <f>VLOOKUP($F117,raw_data!$1:$1048576,MATCH(Q$1,raw_data!$1:$1,0),FALSE)</f>
        <v>17.38095238095238</v>
      </c>
      <c r="R117" s="51">
        <f t="shared" ref="R117:AU117" si="107">R109*R132</f>
        <v>22.567587825713936</v>
      </c>
      <c r="S117" s="51">
        <f t="shared" si="107"/>
        <v>24.463018871080745</v>
      </c>
      <c r="T117" s="51">
        <f t="shared" si="107"/>
        <v>26.595370827605553</v>
      </c>
      <c r="U117" s="51">
        <f t="shared" si="107"/>
        <v>28.80111570739432</v>
      </c>
      <c r="V117" s="51">
        <f t="shared" si="107"/>
        <v>31.163418525254542</v>
      </c>
      <c r="W117" s="51">
        <f t="shared" si="107"/>
        <v>33.835228569476051</v>
      </c>
      <c r="X117" s="51">
        <f t="shared" si="107"/>
        <v>36.174707066040888</v>
      </c>
      <c r="Y117" s="51">
        <f t="shared" si="107"/>
        <v>38.759664980479272</v>
      </c>
      <c r="Z117" s="51">
        <f t="shared" si="107"/>
        <v>41.721130357121019</v>
      </c>
      <c r="AA117" s="51">
        <f t="shared" si="107"/>
        <v>44.986211052427109</v>
      </c>
      <c r="AB117" s="51">
        <f t="shared" si="107"/>
        <v>48.59285087394575</v>
      </c>
      <c r="AC117" s="51">
        <f t="shared" si="107"/>
        <v>51.926571994146592</v>
      </c>
      <c r="AD117" s="51">
        <f t="shared" si="107"/>
        <v>55.224556576632196</v>
      </c>
      <c r="AE117" s="51">
        <f t="shared" si="107"/>
        <v>58.498750847480721</v>
      </c>
      <c r="AF117" s="51">
        <f t="shared" si="107"/>
        <v>61.743478754625478</v>
      </c>
      <c r="AG117" s="51">
        <f t="shared" si="107"/>
        <v>64.906020689617662</v>
      </c>
      <c r="AH117" s="51">
        <f t="shared" si="107"/>
        <v>68.08020448633421</v>
      </c>
      <c r="AI117" s="51">
        <f t="shared" si="107"/>
        <v>71.218305254687436</v>
      </c>
      <c r="AJ117" s="51">
        <f t="shared" si="107"/>
        <v>73.454033597331147</v>
      </c>
      <c r="AK117" s="51">
        <f t="shared" si="107"/>
        <v>75.819260056463449</v>
      </c>
      <c r="AL117" s="51">
        <f t="shared" si="107"/>
        <v>78.248911801126098</v>
      </c>
      <c r="AM117" s="51">
        <f t="shared" si="107"/>
        <v>80.747292231801325</v>
      </c>
      <c r="AN117" s="51">
        <f t="shared" si="107"/>
        <v>83.308077806657053</v>
      </c>
      <c r="AO117" s="51">
        <f t="shared" si="107"/>
        <v>85.973913086035793</v>
      </c>
      <c r="AP117" s="51">
        <f t="shared" si="107"/>
        <v>88.749425214097229</v>
      </c>
      <c r="AQ117" s="51">
        <f t="shared" si="107"/>
        <v>91.565615462814463</v>
      </c>
      <c r="AR117" s="51">
        <f t="shared" si="107"/>
        <v>94.513727299181241</v>
      </c>
      <c r="AS117" s="51">
        <f t="shared" si="107"/>
        <v>97.560904758082501</v>
      </c>
      <c r="AT117" s="51">
        <f t="shared" si="107"/>
        <v>100.66362769186323</v>
      </c>
      <c r="AU117" s="51">
        <f t="shared" si="107"/>
        <v>103.89637581641124</v>
      </c>
    </row>
    <row r="118" spans="1:47">
      <c r="A118" s="119"/>
      <c r="B118" s="119"/>
      <c r="C118" s="5" t="s">
        <v>197</v>
      </c>
      <c r="D118" s="97" t="s">
        <v>9</v>
      </c>
      <c r="E118" s="97"/>
      <c r="F118" s="100" t="s">
        <v>198</v>
      </c>
      <c r="G118" s="100"/>
      <c r="H118" s="2">
        <f>VLOOKUP($F118,raw_data!$1:$1048576,MATCH(H$1,raw_data!$1:$1,0),FALSE)</f>
        <v>13</v>
      </c>
      <c r="I118" s="2">
        <f>VLOOKUP($F118,raw_data!$1:$1048576,MATCH(I$1,raw_data!$1:$1,0),FALSE)</f>
        <v>11</v>
      </c>
      <c r="J118" s="2">
        <f>VLOOKUP($F118,raw_data!$1:$1048576,MATCH(J$1,raw_data!$1:$1,0),FALSE)</f>
        <v>8</v>
      </c>
      <c r="K118" s="2">
        <f>VLOOKUP($F118,raw_data!$1:$1048576,MATCH(K$1,raw_data!$1:$1,0),FALSE)</f>
        <v>7</v>
      </c>
      <c r="L118" s="2">
        <f>VLOOKUP($F118,raw_data!$1:$1048576,MATCH(L$1,raw_data!$1:$1,0),FALSE)</f>
        <v>10</v>
      </c>
      <c r="M118" s="2">
        <f>VLOOKUP($F118,raw_data!$1:$1048576,MATCH(M$1,raw_data!$1:$1,0),FALSE)</f>
        <v>2</v>
      </c>
      <c r="N118" s="2">
        <f>VLOOKUP($F118,raw_data!$1:$1048576,MATCH(N$1,raw_data!$1:$1,0),FALSE)</f>
        <v>9</v>
      </c>
      <c r="O118" s="2">
        <f>VLOOKUP($F118,raw_data!$1:$1048576,MATCH(O$1,raw_data!$1:$1,0),FALSE)</f>
        <v>8.3809523809523814</v>
      </c>
      <c r="P118" s="2">
        <f>VLOOKUP($F118,raw_data!$1:$1048576,MATCH(P$1,raw_data!$1:$1,0),FALSE)</f>
        <v>5</v>
      </c>
      <c r="Q118" s="2">
        <f>VLOOKUP($F118,raw_data!$1:$1048576,MATCH(Q$1,raw_data!$1:$1,0),FALSE)</f>
        <v>16</v>
      </c>
      <c r="R118" s="41">
        <f t="shared" ref="R118:AU118" si="108">R117*R133</f>
        <v>18.424189018455387</v>
      </c>
      <c r="S118" s="41">
        <f t="shared" si="108"/>
        <v>19.971619790453801</v>
      </c>
      <c r="T118" s="41">
        <f t="shared" si="108"/>
        <v>21.712472902638083</v>
      </c>
      <c r="U118" s="41">
        <f t="shared" si="108"/>
        <v>23.51324403092914</v>
      </c>
      <c r="V118" s="41">
        <f t="shared" si="108"/>
        <v>25.441829131437533</v>
      </c>
      <c r="W118" s="41">
        <f t="shared" si="108"/>
        <v>27.623096073049069</v>
      </c>
      <c r="X118" s="41">
        <f t="shared" si="108"/>
        <v>29.533047387216993</v>
      </c>
      <c r="Y118" s="41">
        <f t="shared" si="108"/>
        <v>31.643408210366168</v>
      </c>
      <c r="Z118" s="41">
        <f t="shared" si="108"/>
        <v>34.061149897791402</v>
      </c>
      <c r="AA118" s="41">
        <f t="shared" si="108"/>
        <v>36.726763270182303</v>
      </c>
      <c r="AB118" s="41">
        <f t="shared" si="108"/>
        <v>39.671225669368532</v>
      </c>
      <c r="AC118" s="41">
        <f t="shared" si="108"/>
        <v>42.39287711602482</v>
      </c>
      <c r="AD118" s="41">
        <f t="shared" si="108"/>
        <v>45.085353236952209</v>
      </c>
      <c r="AE118" s="41">
        <f t="shared" si="108"/>
        <v>47.758406936582531</v>
      </c>
      <c r="AF118" s="41">
        <f t="shared" si="108"/>
        <v>50.407404283413548</v>
      </c>
      <c r="AG118" s="41">
        <f t="shared" si="108"/>
        <v>52.989304965005083</v>
      </c>
      <c r="AH118" s="41">
        <f t="shared" si="108"/>
        <v>55.580710067830864</v>
      </c>
      <c r="AI118" s="41">
        <f t="shared" si="108"/>
        <v>58.142656969804243</v>
      </c>
      <c r="AJ118" s="41">
        <f t="shared" si="108"/>
        <v>59.967906610878039</v>
      </c>
      <c r="AK118" s="41">
        <f t="shared" si="108"/>
        <v>61.898878573457601</v>
      </c>
      <c r="AL118" s="41">
        <f t="shared" si="108"/>
        <v>63.882447368598356</v>
      </c>
      <c r="AM118" s="41">
        <f t="shared" si="108"/>
        <v>65.922126294421446</v>
      </c>
      <c r="AN118" s="41">
        <f t="shared" si="108"/>
        <v>68.012752808484123</v>
      </c>
      <c r="AO118" s="41">
        <f t="shared" si="108"/>
        <v>70.18914194934645</v>
      </c>
      <c r="AP118" s="41">
        <f t="shared" si="108"/>
        <v>72.455071319615854</v>
      </c>
      <c r="AQ118" s="41">
        <f t="shared" si="108"/>
        <v>74.754210326186026</v>
      </c>
      <c r="AR118" s="41">
        <f t="shared" si="108"/>
        <v>77.161050177225746</v>
      </c>
      <c r="AS118" s="41">
        <f t="shared" si="108"/>
        <v>79.648767247793856</v>
      </c>
      <c r="AT118" s="41">
        <f t="shared" si="108"/>
        <v>82.181831669448059</v>
      </c>
      <c r="AU118" s="41">
        <f t="shared" si="108"/>
        <v>84.821048716290122</v>
      </c>
    </row>
    <row r="119" spans="1:47">
      <c r="A119" s="119"/>
      <c r="B119" s="120"/>
      <c r="C119" s="32" t="s">
        <v>199</v>
      </c>
      <c r="D119" s="98" t="s">
        <v>9</v>
      </c>
      <c r="E119" s="98"/>
      <c r="F119" s="101" t="s">
        <v>200</v>
      </c>
      <c r="G119" s="101"/>
      <c r="H119" s="14">
        <f>VLOOKUP($F119,raw_data!$1:$1048576,MATCH(H$1,raw_data!$1:$1,0),FALSE)</f>
        <v>18.666666666666671</v>
      </c>
      <c r="I119" s="14">
        <f>VLOOKUP($F119,raw_data!$1:$1048576,MATCH(I$1,raw_data!$1:$1,0),FALSE)</f>
        <v>8.5238095238095237</v>
      </c>
      <c r="J119" s="14">
        <f>VLOOKUP($F119,raw_data!$1:$1048576,MATCH(J$1,raw_data!$1:$1,0),FALSE)</f>
        <v>9.2857142857142865</v>
      </c>
      <c r="K119" s="14">
        <f>VLOOKUP($F119,raw_data!$1:$1048576,MATCH(K$1,raw_data!$1:$1,0),FALSE)</f>
        <v>7</v>
      </c>
      <c r="L119" s="14">
        <f>VLOOKUP($F119,raw_data!$1:$1048576,MATCH(L$1,raw_data!$1:$1,0),FALSE)</f>
        <v>10</v>
      </c>
      <c r="M119" s="14">
        <f>VLOOKUP($F119,raw_data!$1:$1048576,MATCH(M$1,raw_data!$1:$1,0),FALSE)</f>
        <v>3</v>
      </c>
      <c r="N119" s="14">
        <f>VLOOKUP($F119,raw_data!$1:$1048576,MATCH(N$1,raw_data!$1:$1,0),FALSE)</f>
        <v>7</v>
      </c>
      <c r="O119" s="14">
        <f>VLOOKUP($F119,raw_data!$1:$1048576,MATCH(O$1,raw_data!$1:$1,0),FALSE)</f>
        <v>12</v>
      </c>
      <c r="P119" s="14">
        <f>VLOOKUP($F119,raw_data!$1:$1048576,MATCH(P$1,raw_data!$1:$1,0),FALSE)</f>
        <v>7</v>
      </c>
      <c r="Q119" s="14">
        <f>VLOOKUP($F119,raw_data!$1:$1048576,MATCH(Q$1,raw_data!$1:$1,0),FALSE)</f>
        <v>10</v>
      </c>
      <c r="R119" s="42">
        <f t="shared" ref="R119:AU119" si="109">R117*R134</f>
        <v>17.374114010768331</v>
      </c>
      <c r="S119" s="42">
        <f t="shared" si="109"/>
        <v>18.833349944004851</v>
      </c>
      <c r="T119" s="42">
        <f t="shared" si="109"/>
        <v>20.474984233405245</v>
      </c>
      <c r="U119" s="42">
        <f t="shared" si="109"/>
        <v>22.17312154945693</v>
      </c>
      <c r="V119" s="42">
        <f t="shared" si="109"/>
        <v>23.991788161167097</v>
      </c>
      <c r="W119" s="42">
        <f t="shared" si="109"/>
        <v>26.04873517215993</v>
      </c>
      <c r="X119" s="42">
        <f t="shared" si="109"/>
        <v>27.849830018404202</v>
      </c>
      <c r="Y119" s="42">
        <f t="shared" si="109"/>
        <v>29.839912160338642</v>
      </c>
      <c r="Z119" s="42">
        <f t="shared" si="109"/>
        <v>32.11985618847666</v>
      </c>
      <c r="AA119" s="42">
        <f t="shared" si="109"/>
        <v>34.633544611568553</v>
      </c>
      <c r="AB119" s="42">
        <f t="shared" si="109"/>
        <v>37.410189237426337</v>
      </c>
      <c r="AC119" s="42">
        <f t="shared" si="109"/>
        <v>39.97672188016098</v>
      </c>
      <c r="AD119" s="42">
        <f t="shared" si="109"/>
        <v>42.51574202641573</v>
      </c>
      <c r="AE119" s="42">
        <f t="shared" si="109"/>
        <v>45.036446719998864</v>
      </c>
      <c r="AF119" s="42">
        <f t="shared" si="109"/>
        <v>47.534466137405133</v>
      </c>
      <c r="AG119" s="42">
        <f t="shared" si="109"/>
        <v>49.969213021597298</v>
      </c>
      <c r="AH119" s="42">
        <f t="shared" si="109"/>
        <v>52.412922628542944</v>
      </c>
      <c r="AI119" s="42">
        <f t="shared" si="109"/>
        <v>54.828852986174063</v>
      </c>
      <c r="AJ119" s="42">
        <f t="shared" si="109"/>
        <v>56.550073677644619</v>
      </c>
      <c r="AK119" s="42">
        <f t="shared" si="109"/>
        <v>58.370991113730881</v>
      </c>
      <c r="AL119" s="42">
        <f t="shared" si="109"/>
        <v>60.241507659151509</v>
      </c>
      <c r="AM119" s="42">
        <f t="shared" si="109"/>
        <v>62.164936373821888</v>
      </c>
      <c r="AN119" s="42">
        <f t="shared" si="109"/>
        <v>64.136408951142712</v>
      </c>
      <c r="AO119" s="42">
        <f t="shared" si="109"/>
        <v>66.188756168556921</v>
      </c>
      <c r="AP119" s="42">
        <f t="shared" si="109"/>
        <v>68.32554032659904</v>
      </c>
      <c r="AQ119" s="42">
        <f t="shared" si="109"/>
        <v>70.493641358711855</v>
      </c>
      <c r="AR119" s="42">
        <f t="shared" si="109"/>
        <v>72.763304893738407</v>
      </c>
      <c r="AS119" s="42">
        <f t="shared" si="109"/>
        <v>75.109236102286573</v>
      </c>
      <c r="AT119" s="42">
        <f t="shared" si="109"/>
        <v>77.497930118308489</v>
      </c>
      <c r="AU119" s="42">
        <f t="shared" si="109"/>
        <v>79.986726657741812</v>
      </c>
    </row>
    <row r="120" spans="1:47">
      <c r="A120" s="119"/>
      <c r="B120" s="121" t="s">
        <v>201</v>
      </c>
      <c r="C120" s="33" t="s">
        <v>202</v>
      </c>
      <c r="D120" s="102" t="s">
        <v>9</v>
      </c>
      <c r="E120" s="102"/>
      <c r="F120" s="89" t="s">
        <v>128</v>
      </c>
      <c r="G120" s="89"/>
      <c r="H120" s="46">
        <f t="shared" ref="H120:Q120" si="110">H109*H19</f>
        <v>15.70593514701668</v>
      </c>
      <c r="I120" s="46">
        <f t="shared" si="110"/>
        <v>14.89646237157751</v>
      </c>
      <c r="J120" s="46">
        <f t="shared" si="110"/>
        <v>14.731889434963014</v>
      </c>
      <c r="K120" s="46">
        <f t="shared" si="110"/>
        <v>17.37755702463329</v>
      </c>
      <c r="L120" s="46">
        <f t="shared" si="110"/>
        <v>19.176740798404321</v>
      </c>
      <c r="M120" s="46">
        <f t="shared" si="110"/>
        <v>11.090474086547681</v>
      </c>
      <c r="N120" s="46">
        <f t="shared" si="110"/>
        <v>16.796801029163166</v>
      </c>
      <c r="O120" s="46">
        <f t="shared" si="110"/>
        <v>19.827169644922058</v>
      </c>
      <c r="P120" s="46">
        <f t="shared" si="110"/>
        <v>21.144952941452168</v>
      </c>
      <c r="Q120" s="46">
        <f t="shared" si="110"/>
        <v>22.667157399425115</v>
      </c>
    </row>
    <row r="121" spans="1:47">
      <c r="A121" s="119"/>
      <c r="B121" s="119"/>
      <c r="C121" s="5" t="s">
        <v>203</v>
      </c>
      <c r="D121" s="97" t="s">
        <v>9</v>
      </c>
      <c r="E121" s="97"/>
      <c r="F121" s="85" t="s">
        <v>130</v>
      </c>
      <c r="G121" s="85"/>
      <c r="H121" s="47">
        <f t="shared" ref="H121:Q121" si="111">H110*H19</f>
        <v>10.689521482173951</v>
      </c>
      <c r="I121" s="47">
        <f t="shared" si="111"/>
        <v>8.7917983125230474</v>
      </c>
      <c r="J121" s="47">
        <f t="shared" si="111"/>
        <v>9.7380286095518223</v>
      </c>
      <c r="K121" s="47">
        <f t="shared" si="111"/>
        <v>11.377234643930315</v>
      </c>
      <c r="L121" s="47">
        <f t="shared" si="111"/>
        <v>11.388740751630003</v>
      </c>
      <c r="M121" s="47">
        <f t="shared" si="111"/>
        <v>7.7549931582626659</v>
      </c>
      <c r="N121" s="47">
        <f t="shared" si="111"/>
        <v>10.759549095339919</v>
      </c>
      <c r="O121" s="47">
        <f t="shared" si="111"/>
        <v>11.634073464421821</v>
      </c>
      <c r="P121" s="47">
        <f t="shared" si="111"/>
        <v>10.329678319218129</v>
      </c>
      <c r="Q121" s="47">
        <f t="shared" si="111"/>
        <v>13.823589212587269</v>
      </c>
    </row>
    <row r="122" spans="1:47">
      <c r="A122" s="119"/>
      <c r="B122" s="120"/>
      <c r="C122" s="32" t="s">
        <v>204</v>
      </c>
      <c r="D122" s="98" t="s">
        <v>9</v>
      </c>
      <c r="E122" s="98"/>
      <c r="F122" s="88" t="s">
        <v>132</v>
      </c>
      <c r="G122" s="88"/>
      <c r="H122" s="48">
        <f t="shared" ref="H122:Q122" si="112">H111*H19</f>
        <v>12.002909787150958</v>
      </c>
      <c r="I122" s="48">
        <f t="shared" si="112"/>
        <v>11.749449437146181</v>
      </c>
      <c r="J122" s="48">
        <f t="shared" si="112"/>
        <v>11.735572939716299</v>
      </c>
      <c r="K122" s="48">
        <f t="shared" si="112"/>
        <v>12.306115718969011</v>
      </c>
      <c r="L122" s="48">
        <f t="shared" si="112"/>
        <v>13.269228340563863</v>
      </c>
      <c r="M122" s="48">
        <f t="shared" si="112"/>
        <v>9.3547886405326981</v>
      </c>
      <c r="N122" s="48">
        <f t="shared" si="112"/>
        <v>11.269739399606671</v>
      </c>
      <c r="O122" s="48">
        <f t="shared" si="112"/>
        <v>15.195084839642998</v>
      </c>
      <c r="P122" s="48">
        <f t="shared" si="112"/>
        <v>14.420366162978716</v>
      </c>
      <c r="Q122" s="48">
        <f t="shared" si="112"/>
        <v>18.718429671005602</v>
      </c>
    </row>
    <row r="123" spans="1:47">
      <c r="A123" s="119"/>
      <c r="B123" s="121" t="s">
        <v>205</v>
      </c>
      <c r="C123" s="33" t="s">
        <v>206</v>
      </c>
      <c r="D123" s="102" t="s">
        <v>63</v>
      </c>
      <c r="E123" s="102"/>
      <c r="F123" s="89" t="s">
        <v>135</v>
      </c>
      <c r="G123" s="89"/>
      <c r="H123" s="49">
        <v>0.39</v>
      </c>
      <c r="I123" s="49">
        <v>0.39</v>
      </c>
      <c r="J123" s="49">
        <v>0.39</v>
      </c>
      <c r="K123" s="49">
        <v>0.39</v>
      </c>
      <c r="L123" s="49">
        <v>0.39</v>
      </c>
      <c r="M123" s="49">
        <v>0.39</v>
      </c>
      <c r="N123" s="49">
        <v>0.39</v>
      </c>
      <c r="O123" s="49">
        <v>0.39</v>
      </c>
      <c r="P123" s="49">
        <v>0.39</v>
      </c>
      <c r="Q123" s="49">
        <v>0.39</v>
      </c>
    </row>
    <row r="124" spans="1:47">
      <c r="A124" s="119"/>
      <c r="B124" s="119"/>
      <c r="C124" s="5" t="s">
        <v>207</v>
      </c>
      <c r="D124" s="97" t="s">
        <v>9</v>
      </c>
      <c r="E124" s="97"/>
      <c r="F124" s="85" t="s">
        <v>137</v>
      </c>
      <c r="G124" s="85"/>
      <c r="H124" s="47">
        <f t="shared" ref="H124:Q124" si="113">H115*H123</f>
        <v>60.561428571428578</v>
      </c>
      <c r="I124" s="47">
        <f t="shared" si="113"/>
        <v>49.975714285714275</v>
      </c>
      <c r="J124" s="47">
        <f t="shared" si="113"/>
        <v>57.72</v>
      </c>
      <c r="K124" s="47">
        <f t="shared" si="113"/>
        <v>64.86999999999999</v>
      </c>
      <c r="L124" s="47">
        <f t="shared" si="113"/>
        <v>69.921428571428578</v>
      </c>
      <c r="M124" s="47">
        <f t="shared" si="113"/>
        <v>45.890000000000015</v>
      </c>
      <c r="N124" s="47">
        <f t="shared" si="113"/>
        <v>63.161428571428587</v>
      </c>
      <c r="O124" s="47">
        <f t="shared" si="113"/>
        <v>68.25</v>
      </c>
      <c r="P124" s="47">
        <f t="shared" si="113"/>
        <v>60.45</v>
      </c>
      <c r="Q124" s="47">
        <f t="shared" si="113"/>
        <v>82.271428571428586</v>
      </c>
    </row>
    <row r="125" spans="1:47">
      <c r="A125" s="119"/>
      <c r="B125" s="119"/>
      <c r="C125" s="5" t="s">
        <v>208</v>
      </c>
      <c r="D125" s="97" t="s">
        <v>63</v>
      </c>
      <c r="E125" s="97"/>
      <c r="F125" s="85" t="s">
        <v>139</v>
      </c>
      <c r="G125" s="85"/>
      <c r="H125" s="50">
        <v>0.45</v>
      </c>
      <c r="I125" s="50">
        <v>0.45</v>
      </c>
      <c r="J125" s="50">
        <v>0.45</v>
      </c>
      <c r="K125" s="50">
        <v>0.45</v>
      </c>
      <c r="L125" s="50">
        <v>0.45</v>
      </c>
      <c r="M125" s="50">
        <v>0.45</v>
      </c>
      <c r="N125" s="50">
        <v>0.45</v>
      </c>
      <c r="O125" s="50">
        <v>0.45</v>
      </c>
      <c r="P125" s="50">
        <v>0.45</v>
      </c>
      <c r="Q125" s="50">
        <v>0.45</v>
      </c>
    </row>
    <row r="126" spans="1:47">
      <c r="A126" s="120"/>
      <c r="B126" s="120"/>
      <c r="C126" s="32" t="s">
        <v>209</v>
      </c>
      <c r="D126" s="98" t="s">
        <v>9</v>
      </c>
      <c r="E126" s="98"/>
      <c r="F126" s="88" t="s">
        <v>141</v>
      </c>
      <c r="G126" s="88"/>
      <c r="H126" s="48">
        <f t="shared" ref="H126:Q126" si="114">H116*H125</f>
        <v>82.178571428571416</v>
      </c>
      <c r="I126" s="48">
        <f t="shared" si="114"/>
        <v>82.414285714285697</v>
      </c>
      <c r="J126" s="48">
        <f t="shared" si="114"/>
        <v>82.350000000000009</v>
      </c>
      <c r="K126" s="48">
        <f t="shared" si="114"/>
        <v>83.25</v>
      </c>
      <c r="L126" s="48">
        <f t="shared" si="114"/>
        <v>89.55</v>
      </c>
      <c r="M126" s="48">
        <f t="shared" si="114"/>
        <v>63.664285714285732</v>
      </c>
      <c r="N126" s="48">
        <f t="shared" si="114"/>
        <v>78.535714285714278</v>
      </c>
      <c r="O126" s="48">
        <f t="shared" si="114"/>
        <v>103.95</v>
      </c>
      <c r="P126" s="48">
        <f t="shared" si="114"/>
        <v>98.850000000000023</v>
      </c>
      <c r="Q126" s="48">
        <f t="shared" si="114"/>
        <v>126.79285714285717</v>
      </c>
    </row>
    <row r="127" spans="1:47">
      <c r="A127" s="132" t="s">
        <v>210</v>
      </c>
      <c r="B127" s="127" t="s">
        <v>211</v>
      </c>
      <c r="C127" s="7" t="s">
        <v>212</v>
      </c>
      <c r="D127" s="86" t="s">
        <v>63</v>
      </c>
      <c r="E127" s="86"/>
      <c r="F127" s="100" t="s">
        <v>145</v>
      </c>
      <c r="G127" s="100">
        <f t="shared" ref="G127:G134" si="115">SUMIF($H$157:$Q$157,"O",H127:Q127)/COUNTIFS($H$157:$Q$157,"O",H127:Q127,"&lt;&gt;0")</f>
        <v>0.53548387096774186</v>
      </c>
      <c r="H127" s="55">
        <f t="shared" ref="H127:Q127" si="116">H105/H104</f>
        <v>0.5</v>
      </c>
      <c r="I127" s="55">
        <f t="shared" si="116"/>
        <v>0.5</v>
      </c>
      <c r="J127" s="55">
        <f t="shared" si="116"/>
        <v>0.5</v>
      </c>
      <c r="K127" s="55">
        <f t="shared" si="116"/>
        <v>0.5</v>
      </c>
      <c r="L127" s="55">
        <f t="shared" si="116"/>
        <v>0.5</v>
      </c>
      <c r="M127" s="55">
        <f t="shared" si="116"/>
        <v>1</v>
      </c>
      <c r="N127" s="55">
        <f t="shared" si="116"/>
        <v>0.5</v>
      </c>
      <c r="O127" s="55">
        <f t="shared" si="116"/>
        <v>0.80952380952380953</v>
      </c>
      <c r="P127" s="55">
        <f t="shared" si="116"/>
        <v>0.5</v>
      </c>
      <c r="Q127" s="55">
        <f t="shared" si="116"/>
        <v>0.67741935483870952</v>
      </c>
      <c r="R127" s="4">
        <f t="shared" ref="R127:AA134" si="117">$G127</f>
        <v>0.53548387096774186</v>
      </c>
      <c r="S127" s="4">
        <f t="shared" si="117"/>
        <v>0.53548387096774186</v>
      </c>
      <c r="T127" s="4">
        <f t="shared" si="117"/>
        <v>0.53548387096774186</v>
      </c>
      <c r="U127" s="4">
        <f t="shared" si="117"/>
        <v>0.53548387096774186</v>
      </c>
      <c r="V127" s="4">
        <f t="shared" si="117"/>
        <v>0.53548387096774186</v>
      </c>
      <c r="W127" s="4">
        <f t="shared" si="117"/>
        <v>0.53548387096774186</v>
      </c>
      <c r="X127" s="4">
        <f t="shared" si="117"/>
        <v>0.53548387096774186</v>
      </c>
      <c r="Y127" s="4">
        <f t="shared" si="117"/>
        <v>0.53548387096774186</v>
      </c>
      <c r="Z127" s="4">
        <f t="shared" si="117"/>
        <v>0.53548387096774186</v>
      </c>
      <c r="AA127" s="4">
        <f t="shared" si="117"/>
        <v>0.53548387096774186</v>
      </c>
      <c r="AB127" s="4">
        <f t="shared" ref="AB127:AK134" si="118">$G127</f>
        <v>0.53548387096774186</v>
      </c>
      <c r="AC127" s="4">
        <f t="shared" si="118"/>
        <v>0.53548387096774186</v>
      </c>
      <c r="AD127" s="4">
        <f t="shared" si="118"/>
        <v>0.53548387096774186</v>
      </c>
      <c r="AE127" s="4">
        <f t="shared" si="118"/>
        <v>0.53548387096774186</v>
      </c>
      <c r="AF127" s="4">
        <f t="shared" si="118"/>
        <v>0.53548387096774186</v>
      </c>
      <c r="AG127" s="4">
        <f t="shared" si="118"/>
        <v>0.53548387096774186</v>
      </c>
      <c r="AH127" s="4">
        <f t="shared" si="118"/>
        <v>0.53548387096774186</v>
      </c>
      <c r="AI127" s="4">
        <f t="shared" si="118"/>
        <v>0.53548387096774186</v>
      </c>
      <c r="AJ127" s="4">
        <f t="shared" si="118"/>
        <v>0.53548387096774186</v>
      </c>
      <c r="AK127" s="4">
        <f t="shared" si="118"/>
        <v>0.53548387096774186</v>
      </c>
      <c r="AL127" s="4">
        <f t="shared" ref="AL127:AU134" si="119">$G127</f>
        <v>0.53548387096774186</v>
      </c>
      <c r="AM127" s="4">
        <f t="shared" si="119"/>
        <v>0.53548387096774186</v>
      </c>
      <c r="AN127" s="4">
        <f t="shared" si="119"/>
        <v>0.53548387096774186</v>
      </c>
      <c r="AO127" s="4">
        <f t="shared" si="119"/>
        <v>0.53548387096774186</v>
      </c>
      <c r="AP127" s="4">
        <f t="shared" si="119"/>
        <v>0.53548387096774186</v>
      </c>
      <c r="AQ127" s="4">
        <f t="shared" si="119"/>
        <v>0.53548387096774186</v>
      </c>
      <c r="AR127" s="4">
        <f t="shared" si="119"/>
        <v>0.53548387096774186</v>
      </c>
      <c r="AS127" s="4">
        <f t="shared" si="119"/>
        <v>0.53548387096774186</v>
      </c>
      <c r="AT127" s="4">
        <f t="shared" si="119"/>
        <v>0.53548387096774186</v>
      </c>
      <c r="AU127" s="4">
        <f t="shared" si="119"/>
        <v>0.53548387096774186</v>
      </c>
    </row>
    <row r="128" spans="1:47">
      <c r="A128" s="119"/>
      <c r="B128" s="119"/>
      <c r="C128" s="8" t="s">
        <v>213</v>
      </c>
      <c r="D128" s="86" t="s">
        <v>63</v>
      </c>
      <c r="E128" s="86"/>
      <c r="F128" s="100" t="s">
        <v>147</v>
      </c>
      <c r="G128" s="100">
        <f t="shared" si="115"/>
        <v>0.53548387096774186</v>
      </c>
      <c r="H128" s="55">
        <f t="shared" ref="H128:Q128" si="120">H106/H104</f>
        <v>0.5</v>
      </c>
      <c r="I128" s="55">
        <f t="shared" si="120"/>
        <v>0.5</v>
      </c>
      <c r="J128" s="55">
        <f t="shared" si="120"/>
        <v>0.5</v>
      </c>
      <c r="K128" s="55">
        <f t="shared" si="120"/>
        <v>0.5</v>
      </c>
      <c r="L128" s="55">
        <f t="shared" si="120"/>
        <v>0.5</v>
      </c>
      <c r="M128" s="55">
        <f t="shared" si="120"/>
        <v>1</v>
      </c>
      <c r="N128" s="55">
        <f t="shared" si="120"/>
        <v>0.5</v>
      </c>
      <c r="O128" s="55">
        <f t="shared" si="120"/>
        <v>0.73809523809523803</v>
      </c>
      <c r="P128" s="55">
        <f t="shared" si="120"/>
        <v>0.5</v>
      </c>
      <c r="Q128" s="55">
        <f t="shared" si="120"/>
        <v>0.67741935483870952</v>
      </c>
      <c r="R128" s="4">
        <f t="shared" si="117"/>
        <v>0.53548387096774186</v>
      </c>
      <c r="S128" s="4">
        <f t="shared" si="117"/>
        <v>0.53548387096774186</v>
      </c>
      <c r="T128" s="4">
        <f t="shared" si="117"/>
        <v>0.53548387096774186</v>
      </c>
      <c r="U128" s="4">
        <f t="shared" si="117"/>
        <v>0.53548387096774186</v>
      </c>
      <c r="V128" s="4">
        <f t="shared" si="117"/>
        <v>0.53548387096774186</v>
      </c>
      <c r="W128" s="4">
        <f t="shared" si="117"/>
        <v>0.53548387096774186</v>
      </c>
      <c r="X128" s="4">
        <f t="shared" si="117"/>
        <v>0.53548387096774186</v>
      </c>
      <c r="Y128" s="4">
        <f t="shared" si="117"/>
        <v>0.53548387096774186</v>
      </c>
      <c r="Z128" s="4">
        <f t="shared" si="117"/>
        <v>0.53548387096774186</v>
      </c>
      <c r="AA128" s="4">
        <f t="shared" si="117"/>
        <v>0.53548387096774186</v>
      </c>
      <c r="AB128" s="4">
        <f t="shared" si="118"/>
        <v>0.53548387096774186</v>
      </c>
      <c r="AC128" s="4">
        <f t="shared" si="118"/>
        <v>0.53548387096774186</v>
      </c>
      <c r="AD128" s="4">
        <f t="shared" si="118"/>
        <v>0.53548387096774186</v>
      </c>
      <c r="AE128" s="4">
        <f t="shared" si="118"/>
        <v>0.53548387096774186</v>
      </c>
      <c r="AF128" s="4">
        <f t="shared" si="118"/>
        <v>0.53548387096774186</v>
      </c>
      <c r="AG128" s="4">
        <f t="shared" si="118"/>
        <v>0.53548387096774186</v>
      </c>
      <c r="AH128" s="4">
        <f t="shared" si="118"/>
        <v>0.53548387096774186</v>
      </c>
      <c r="AI128" s="4">
        <f t="shared" si="118"/>
        <v>0.53548387096774186</v>
      </c>
      <c r="AJ128" s="4">
        <f t="shared" si="118"/>
        <v>0.53548387096774186</v>
      </c>
      <c r="AK128" s="4">
        <f t="shared" si="118"/>
        <v>0.53548387096774186</v>
      </c>
      <c r="AL128" s="4">
        <f t="shared" si="119"/>
        <v>0.53548387096774186</v>
      </c>
      <c r="AM128" s="4">
        <f t="shared" si="119"/>
        <v>0.53548387096774186</v>
      </c>
      <c r="AN128" s="4">
        <f t="shared" si="119"/>
        <v>0.53548387096774186</v>
      </c>
      <c r="AO128" s="4">
        <f t="shared" si="119"/>
        <v>0.53548387096774186</v>
      </c>
      <c r="AP128" s="4">
        <f t="shared" si="119"/>
        <v>0.53548387096774186</v>
      </c>
      <c r="AQ128" s="4">
        <f t="shared" si="119"/>
        <v>0.53548387096774186</v>
      </c>
      <c r="AR128" s="4">
        <f t="shared" si="119"/>
        <v>0.53548387096774186</v>
      </c>
      <c r="AS128" s="4">
        <f t="shared" si="119"/>
        <v>0.53548387096774186</v>
      </c>
      <c r="AT128" s="4">
        <f t="shared" si="119"/>
        <v>0.53548387096774186</v>
      </c>
      <c r="AU128" s="4">
        <f t="shared" si="119"/>
        <v>0.53548387096774186</v>
      </c>
    </row>
    <row r="129" spans="1:47">
      <c r="A129" s="119"/>
      <c r="B129" s="123" t="s">
        <v>214</v>
      </c>
      <c r="C129" s="8" t="s">
        <v>149</v>
      </c>
      <c r="D129" s="86" t="s">
        <v>63</v>
      </c>
      <c r="E129" s="86"/>
      <c r="F129" s="100" t="s">
        <v>150</v>
      </c>
      <c r="G129" s="100">
        <f t="shared" si="115"/>
        <v>0.96733566438216145</v>
      </c>
      <c r="H129" s="55">
        <f t="shared" ref="H129:Q129" si="121">H114/H109</f>
        <v>0.95528455284552849</v>
      </c>
      <c r="I129" s="55">
        <f t="shared" si="121"/>
        <v>0.96610169491525422</v>
      </c>
      <c r="J129" s="55">
        <f t="shared" si="121"/>
        <v>0.9576271186440678</v>
      </c>
      <c r="K129" s="55">
        <f t="shared" si="121"/>
        <v>0.97560538116591922</v>
      </c>
      <c r="L129" s="55">
        <f t="shared" si="121"/>
        <v>0.97256818540123013</v>
      </c>
      <c r="M129" s="55">
        <f t="shared" si="121"/>
        <v>0.97660818713450293</v>
      </c>
      <c r="N129" s="55">
        <f t="shared" si="121"/>
        <v>0.93852829506418367</v>
      </c>
      <c r="O129" s="55">
        <f t="shared" si="121"/>
        <v>0.97081651660974833</v>
      </c>
      <c r="P129" s="55">
        <f t="shared" si="121"/>
        <v>0.97834302325581401</v>
      </c>
      <c r="Q129" s="55">
        <f t="shared" si="121"/>
        <v>0.9671185075828751</v>
      </c>
      <c r="R129" s="4">
        <f t="shared" si="117"/>
        <v>0.96733566438216145</v>
      </c>
      <c r="S129" s="4">
        <f t="shared" si="117"/>
        <v>0.96733566438216145</v>
      </c>
      <c r="T129" s="4">
        <f t="shared" si="117"/>
        <v>0.96733566438216145</v>
      </c>
      <c r="U129" s="4">
        <f t="shared" si="117"/>
        <v>0.96733566438216145</v>
      </c>
      <c r="V129" s="4">
        <f t="shared" si="117"/>
        <v>0.96733566438216145</v>
      </c>
      <c r="W129" s="4">
        <f t="shared" si="117"/>
        <v>0.96733566438216145</v>
      </c>
      <c r="X129" s="4">
        <f t="shared" si="117"/>
        <v>0.96733566438216145</v>
      </c>
      <c r="Y129" s="4">
        <f t="shared" si="117"/>
        <v>0.96733566438216145</v>
      </c>
      <c r="Z129" s="4">
        <f t="shared" si="117"/>
        <v>0.96733566438216145</v>
      </c>
      <c r="AA129" s="4">
        <f t="shared" si="117"/>
        <v>0.96733566438216145</v>
      </c>
      <c r="AB129" s="4">
        <f t="shared" si="118"/>
        <v>0.96733566438216145</v>
      </c>
      <c r="AC129" s="4">
        <f t="shared" si="118"/>
        <v>0.96733566438216145</v>
      </c>
      <c r="AD129" s="4">
        <f t="shared" si="118"/>
        <v>0.96733566438216145</v>
      </c>
      <c r="AE129" s="4">
        <f t="shared" si="118"/>
        <v>0.96733566438216145</v>
      </c>
      <c r="AF129" s="4">
        <f t="shared" si="118"/>
        <v>0.96733566438216145</v>
      </c>
      <c r="AG129" s="4">
        <f t="shared" si="118"/>
        <v>0.96733566438216145</v>
      </c>
      <c r="AH129" s="4">
        <f t="shared" si="118"/>
        <v>0.96733566438216145</v>
      </c>
      <c r="AI129" s="4">
        <f t="shared" si="118"/>
        <v>0.96733566438216145</v>
      </c>
      <c r="AJ129" s="4">
        <f t="shared" si="118"/>
        <v>0.96733566438216145</v>
      </c>
      <c r="AK129" s="4">
        <f t="shared" si="118"/>
        <v>0.96733566438216145</v>
      </c>
      <c r="AL129" s="4">
        <f t="shared" si="119"/>
        <v>0.96733566438216145</v>
      </c>
      <c r="AM129" s="4">
        <f t="shared" si="119"/>
        <v>0.96733566438216145</v>
      </c>
      <c r="AN129" s="4">
        <f t="shared" si="119"/>
        <v>0.96733566438216145</v>
      </c>
      <c r="AO129" s="4">
        <f t="shared" si="119"/>
        <v>0.96733566438216145</v>
      </c>
      <c r="AP129" s="4">
        <f t="shared" si="119"/>
        <v>0.96733566438216145</v>
      </c>
      <c r="AQ129" s="4">
        <f t="shared" si="119"/>
        <v>0.96733566438216145</v>
      </c>
      <c r="AR129" s="4">
        <f t="shared" si="119"/>
        <v>0.96733566438216145</v>
      </c>
      <c r="AS129" s="4">
        <f t="shared" si="119"/>
        <v>0.96733566438216145</v>
      </c>
      <c r="AT129" s="4">
        <f t="shared" si="119"/>
        <v>0.96733566438216145</v>
      </c>
      <c r="AU129" s="4">
        <f t="shared" si="119"/>
        <v>0.96733566438216145</v>
      </c>
    </row>
    <row r="130" spans="1:47">
      <c r="A130" s="119"/>
      <c r="B130" s="119"/>
      <c r="C130" s="8" t="s">
        <v>215</v>
      </c>
      <c r="D130" s="86" t="s">
        <v>63</v>
      </c>
      <c r="E130" s="86"/>
      <c r="F130" s="100" t="s">
        <v>152</v>
      </c>
      <c r="G130" s="100">
        <f t="shared" si="115"/>
        <v>0.6180218153507262</v>
      </c>
      <c r="H130" s="55">
        <f t="shared" ref="H130:Q130" si="122">H115/H114</f>
        <v>0.6607902735562311</v>
      </c>
      <c r="I130" s="55">
        <f t="shared" si="122"/>
        <v>0.56203007518796977</v>
      </c>
      <c r="J130" s="55">
        <f t="shared" si="122"/>
        <v>0.65486725663716816</v>
      </c>
      <c r="K130" s="55">
        <f t="shared" si="122"/>
        <v>0.64221364221364208</v>
      </c>
      <c r="L130" s="55">
        <f t="shared" si="122"/>
        <v>0.61030961257902416</v>
      </c>
      <c r="M130" s="55">
        <f t="shared" si="122"/>
        <v>0.70459081836327364</v>
      </c>
      <c r="N130" s="55">
        <f t="shared" si="122"/>
        <v>0.65517241379310354</v>
      </c>
      <c r="O130" s="55">
        <f t="shared" si="122"/>
        <v>0.58762392069075797</v>
      </c>
      <c r="P130" s="55">
        <f t="shared" si="122"/>
        <v>0.4835834199970287</v>
      </c>
      <c r="Q130" s="55">
        <f t="shared" si="122"/>
        <v>0.61476547321676378</v>
      </c>
      <c r="R130" s="4">
        <f t="shared" si="117"/>
        <v>0.6180218153507262</v>
      </c>
      <c r="S130" s="4">
        <f t="shared" si="117"/>
        <v>0.6180218153507262</v>
      </c>
      <c r="T130" s="4">
        <f t="shared" si="117"/>
        <v>0.6180218153507262</v>
      </c>
      <c r="U130" s="4">
        <f t="shared" si="117"/>
        <v>0.6180218153507262</v>
      </c>
      <c r="V130" s="4">
        <f t="shared" si="117"/>
        <v>0.6180218153507262</v>
      </c>
      <c r="W130" s="4">
        <f t="shared" si="117"/>
        <v>0.6180218153507262</v>
      </c>
      <c r="X130" s="4">
        <f t="shared" si="117"/>
        <v>0.6180218153507262</v>
      </c>
      <c r="Y130" s="4">
        <f t="shared" si="117"/>
        <v>0.6180218153507262</v>
      </c>
      <c r="Z130" s="4">
        <f t="shared" si="117"/>
        <v>0.6180218153507262</v>
      </c>
      <c r="AA130" s="4">
        <f t="shared" si="117"/>
        <v>0.6180218153507262</v>
      </c>
      <c r="AB130" s="4">
        <f t="shared" si="118"/>
        <v>0.6180218153507262</v>
      </c>
      <c r="AC130" s="4">
        <f t="shared" si="118"/>
        <v>0.6180218153507262</v>
      </c>
      <c r="AD130" s="4">
        <f t="shared" si="118"/>
        <v>0.6180218153507262</v>
      </c>
      <c r="AE130" s="4">
        <f t="shared" si="118"/>
        <v>0.6180218153507262</v>
      </c>
      <c r="AF130" s="4">
        <f t="shared" si="118"/>
        <v>0.6180218153507262</v>
      </c>
      <c r="AG130" s="4">
        <f t="shared" si="118"/>
        <v>0.6180218153507262</v>
      </c>
      <c r="AH130" s="4">
        <f t="shared" si="118"/>
        <v>0.6180218153507262</v>
      </c>
      <c r="AI130" s="4">
        <f t="shared" si="118"/>
        <v>0.6180218153507262</v>
      </c>
      <c r="AJ130" s="4">
        <f t="shared" si="118"/>
        <v>0.6180218153507262</v>
      </c>
      <c r="AK130" s="4">
        <f t="shared" si="118"/>
        <v>0.6180218153507262</v>
      </c>
      <c r="AL130" s="4">
        <f t="shared" si="119"/>
        <v>0.6180218153507262</v>
      </c>
      <c r="AM130" s="4">
        <f t="shared" si="119"/>
        <v>0.6180218153507262</v>
      </c>
      <c r="AN130" s="4">
        <f t="shared" si="119"/>
        <v>0.6180218153507262</v>
      </c>
      <c r="AO130" s="4">
        <f t="shared" si="119"/>
        <v>0.6180218153507262</v>
      </c>
      <c r="AP130" s="4">
        <f t="shared" si="119"/>
        <v>0.6180218153507262</v>
      </c>
      <c r="AQ130" s="4">
        <f t="shared" si="119"/>
        <v>0.6180218153507262</v>
      </c>
      <c r="AR130" s="4">
        <f t="shared" si="119"/>
        <v>0.6180218153507262</v>
      </c>
      <c r="AS130" s="4">
        <f t="shared" si="119"/>
        <v>0.6180218153507262</v>
      </c>
      <c r="AT130" s="4">
        <f t="shared" si="119"/>
        <v>0.6180218153507262</v>
      </c>
      <c r="AU130" s="4">
        <f t="shared" si="119"/>
        <v>0.6180218153507262</v>
      </c>
    </row>
    <row r="131" spans="1:47">
      <c r="A131" s="119"/>
      <c r="B131" s="119"/>
      <c r="C131" s="8" t="s">
        <v>216</v>
      </c>
      <c r="D131" s="86" t="s">
        <v>63</v>
      </c>
      <c r="E131" s="86"/>
      <c r="F131" s="100" t="s">
        <v>154</v>
      </c>
      <c r="G131" s="100">
        <f t="shared" si="115"/>
        <v>0.75863736651947222</v>
      </c>
      <c r="H131" s="55">
        <f t="shared" ref="H131:Q131" si="123">H116/H114</f>
        <v>0.77710233029381959</v>
      </c>
      <c r="I131" s="55">
        <f t="shared" si="123"/>
        <v>0.80325814536340834</v>
      </c>
      <c r="J131" s="55">
        <f t="shared" si="123"/>
        <v>0.80973451327433632</v>
      </c>
      <c r="K131" s="55">
        <f t="shared" si="123"/>
        <v>0.7142857142857143</v>
      </c>
      <c r="L131" s="55">
        <f t="shared" si="123"/>
        <v>0.67741935483870952</v>
      </c>
      <c r="M131" s="55">
        <f t="shared" si="123"/>
        <v>0.84716281722269771</v>
      </c>
      <c r="N131" s="55">
        <f t="shared" si="123"/>
        <v>0.70602966673088019</v>
      </c>
      <c r="O131" s="55">
        <f t="shared" si="123"/>
        <v>0.77566357531180052</v>
      </c>
      <c r="P131" s="55">
        <f t="shared" si="123"/>
        <v>0.68533650274847735</v>
      </c>
      <c r="Q131" s="55">
        <f t="shared" si="123"/>
        <v>0.82112128781570914</v>
      </c>
      <c r="R131" s="4">
        <f t="shared" si="117"/>
        <v>0.75863736651947222</v>
      </c>
      <c r="S131" s="4">
        <f t="shared" si="117"/>
        <v>0.75863736651947222</v>
      </c>
      <c r="T131" s="4">
        <f t="shared" si="117"/>
        <v>0.75863736651947222</v>
      </c>
      <c r="U131" s="4">
        <f t="shared" si="117"/>
        <v>0.75863736651947222</v>
      </c>
      <c r="V131" s="4">
        <f t="shared" si="117"/>
        <v>0.75863736651947222</v>
      </c>
      <c r="W131" s="4">
        <f t="shared" si="117"/>
        <v>0.75863736651947222</v>
      </c>
      <c r="X131" s="4">
        <f t="shared" si="117"/>
        <v>0.75863736651947222</v>
      </c>
      <c r="Y131" s="4">
        <f t="shared" si="117"/>
        <v>0.75863736651947222</v>
      </c>
      <c r="Z131" s="4">
        <f t="shared" si="117"/>
        <v>0.75863736651947222</v>
      </c>
      <c r="AA131" s="4">
        <f t="shared" si="117"/>
        <v>0.75863736651947222</v>
      </c>
      <c r="AB131" s="4">
        <f t="shared" si="118"/>
        <v>0.75863736651947222</v>
      </c>
      <c r="AC131" s="4">
        <f t="shared" si="118"/>
        <v>0.75863736651947222</v>
      </c>
      <c r="AD131" s="4">
        <f t="shared" si="118"/>
        <v>0.75863736651947222</v>
      </c>
      <c r="AE131" s="4">
        <f t="shared" si="118"/>
        <v>0.75863736651947222</v>
      </c>
      <c r="AF131" s="4">
        <f t="shared" si="118"/>
        <v>0.75863736651947222</v>
      </c>
      <c r="AG131" s="4">
        <f t="shared" si="118"/>
        <v>0.75863736651947222</v>
      </c>
      <c r="AH131" s="4">
        <f t="shared" si="118"/>
        <v>0.75863736651947222</v>
      </c>
      <c r="AI131" s="4">
        <f t="shared" si="118"/>
        <v>0.75863736651947222</v>
      </c>
      <c r="AJ131" s="4">
        <f t="shared" si="118"/>
        <v>0.75863736651947222</v>
      </c>
      <c r="AK131" s="4">
        <f t="shared" si="118"/>
        <v>0.75863736651947222</v>
      </c>
      <c r="AL131" s="4">
        <f t="shared" si="119"/>
        <v>0.75863736651947222</v>
      </c>
      <c r="AM131" s="4">
        <f t="shared" si="119"/>
        <v>0.75863736651947222</v>
      </c>
      <c r="AN131" s="4">
        <f t="shared" si="119"/>
        <v>0.75863736651947222</v>
      </c>
      <c r="AO131" s="4">
        <f t="shared" si="119"/>
        <v>0.75863736651947222</v>
      </c>
      <c r="AP131" s="4">
        <f t="shared" si="119"/>
        <v>0.75863736651947222</v>
      </c>
      <c r="AQ131" s="4">
        <f t="shared" si="119"/>
        <v>0.75863736651947222</v>
      </c>
      <c r="AR131" s="4">
        <f t="shared" si="119"/>
        <v>0.75863736651947222</v>
      </c>
      <c r="AS131" s="4">
        <f t="shared" si="119"/>
        <v>0.75863736651947222</v>
      </c>
      <c r="AT131" s="4">
        <f t="shared" si="119"/>
        <v>0.75863736651947222</v>
      </c>
      <c r="AU131" s="4">
        <f t="shared" si="119"/>
        <v>0.75863736651947222</v>
      </c>
    </row>
    <row r="132" spans="1:47">
      <c r="A132" s="119"/>
      <c r="B132" s="119"/>
      <c r="C132" s="8" t="s">
        <v>217</v>
      </c>
      <c r="D132" s="86" t="s">
        <v>63</v>
      </c>
      <c r="E132" s="86"/>
      <c r="F132" s="100" t="s">
        <v>156</v>
      </c>
      <c r="G132" s="100">
        <f t="shared" si="115"/>
        <v>5.2270187674693602E-2</v>
      </c>
      <c r="H132" s="55">
        <f t="shared" ref="H132:Q132" si="124">H117/H109</f>
        <v>8.265582655826556E-2</v>
      </c>
      <c r="I132" s="55">
        <f t="shared" si="124"/>
        <v>6.3155770782889448E-2</v>
      </c>
      <c r="J132" s="55">
        <f t="shared" si="124"/>
        <v>4.5197740112994364E-2</v>
      </c>
      <c r="K132" s="55">
        <f t="shared" si="124"/>
        <v>3.0134529147982061E-2</v>
      </c>
      <c r="L132" s="55">
        <f t="shared" si="124"/>
        <v>3.6418098691470918E-2</v>
      </c>
      <c r="M132" s="55">
        <f t="shared" si="124"/>
        <v>2.0328599275967696E-2</v>
      </c>
      <c r="N132" s="55">
        <f t="shared" si="124"/>
        <v>4.845416741999637E-2</v>
      </c>
      <c r="O132" s="55">
        <f t="shared" si="124"/>
        <v>4.563800062092517E-2</v>
      </c>
      <c r="P132" s="55">
        <f t="shared" si="124"/>
        <v>2.747093023255814E-2</v>
      </c>
      <c r="Q132" s="55">
        <f t="shared" si="124"/>
        <v>4.8986713192860014E-2</v>
      </c>
      <c r="R132" s="4">
        <f t="shared" si="117"/>
        <v>5.2270187674693602E-2</v>
      </c>
      <c r="S132" s="4">
        <f t="shared" si="117"/>
        <v>5.2270187674693602E-2</v>
      </c>
      <c r="T132" s="4">
        <f t="shared" si="117"/>
        <v>5.2270187674693602E-2</v>
      </c>
      <c r="U132" s="4">
        <f t="shared" si="117"/>
        <v>5.2270187674693602E-2</v>
      </c>
      <c r="V132" s="4">
        <f t="shared" si="117"/>
        <v>5.2270187674693602E-2</v>
      </c>
      <c r="W132" s="4">
        <f t="shared" si="117"/>
        <v>5.2270187674693602E-2</v>
      </c>
      <c r="X132" s="4">
        <f t="shared" si="117"/>
        <v>5.2270187674693602E-2</v>
      </c>
      <c r="Y132" s="4">
        <f t="shared" si="117"/>
        <v>5.2270187674693602E-2</v>
      </c>
      <c r="Z132" s="4">
        <f t="shared" si="117"/>
        <v>5.2270187674693602E-2</v>
      </c>
      <c r="AA132" s="4">
        <f t="shared" si="117"/>
        <v>5.2270187674693602E-2</v>
      </c>
      <c r="AB132" s="4">
        <f t="shared" si="118"/>
        <v>5.2270187674693602E-2</v>
      </c>
      <c r="AC132" s="4">
        <f t="shared" si="118"/>
        <v>5.2270187674693602E-2</v>
      </c>
      <c r="AD132" s="4">
        <f t="shared" si="118"/>
        <v>5.2270187674693602E-2</v>
      </c>
      <c r="AE132" s="4">
        <f t="shared" si="118"/>
        <v>5.2270187674693602E-2</v>
      </c>
      <c r="AF132" s="4">
        <f t="shared" si="118"/>
        <v>5.2270187674693602E-2</v>
      </c>
      <c r="AG132" s="4">
        <f t="shared" si="118"/>
        <v>5.2270187674693602E-2</v>
      </c>
      <c r="AH132" s="4">
        <f t="shared" si="118"/>
        <v>5.2270187674693602E-2</v>
      </c>
      <c r="AI132" s="4">
        <f t="shared" si="118"/>
        <v>5.2270187674693602E-2</v>
      </c>
      <c r="AJ132" s="4">
        <f t="shared" si="118"/>
        <v>5.2270187674693602E-2</v>
      </c>
      <c r="AK132" s="4">
        <f t="shared" si="118"/>
        <v>5.2270187674693602E-2</v>
      </c>
      <c r="AL132" s="4">
        <f t="shared" si="119"/>
        <v>5.2270187674693602E-2</v>
      </c>
      <c r="AM132" s="4">
        <f t="shared" si="119"/>
        <v>5.2270187674693602E-2</v>
      </c>
      <c r="AN132" s="4">
        <f t="shared" si="119"/>
        <v>5.2270187674693602E-2</v>
      </c>
      <c r="AO132" s="4">
        <f t="shared" si="119"/>
        <v>5.2270187674693602E-2</v>
      </c>
      <c r="AP132" s="4">
        <f t="shared" si="119"/>
        <v>5.2270187674693602E-2</v>
      </c>
      <c r="AQ132" s="4">
        <f t="shared" si="119"/>
        <v>5.2270187674693602E-2</v>
      </c>
      <c r="AR132" s="4">
        <f t="shared" si="119"/>
        <v>5.2270187674693602E-2</v>
      </c>
      <c r="AS132" s="4">
        <f t="shared" si="119"/>
        <v>5.2270187674693602E-2</v>
      </c>
      <c r="AT132" s="4">
        <f t="shared" si="119"/>
        <v>5.2270187674693602E-2</v>
      </c>
      <c r="AU132" s="4">
        <f t="shared" si="119"/>
        <v>5.2270187674693602E-2</v>
      </c>
    </row>
    <row r="133" spans="1:47">
      <c r="A133" s="119"/>
      <c r="B133" s="119"/>
      <c r="C133" s="8" t="s">
        <v>218</v>
      </c>
      <c r="D133" s="86" t="s">
        <v>63</v>
      </c>
      <c r="E133" s="86"/>
      <c r="F133" s="100" t="s">
        <v>158</v>
      </c>
      <c r="G133" s="100">
        <f t="shared" si="115"/>
        <v>0.81640045718410881</v>
      </c>
      <c r="H133" s="55">
        <f t="shared" ref="H133:Q133" si="125">H118/H117</f>
        <v>0.63934426229508212</v>
      </c>
      <c r="I133" s="55">
        <f t="shared" si="125"/>
        <v>0.73801916932907319</v>
      </c>
      <c r="J133" s="55">
        <f t="shared" si="125"/>
        <v>0.74999999999999978</v>
      </c>
      <c r="K133" s="55">
        <f t="shared" si="125"/>
        <v>0.875</v>
      </c>
      <c r="L133" s="55">
        <f t="shared" si="125"/>
        <v>0.90909090909090906</v>
      </c>
      <c r="M133" s="55">
        <f t="shared" si="125"/>
        <v>0.57534246575342474</v>
      </c>
      <c r="N133" s="55">
        <f t="shared" si="125"/>
        <v>0.70522388059701513</v>
      </c>
      <c r="O133" s="55">
        <f t="shared" si="125"/>
        <v>0.59863945578231292</v>
      </c>
      <c r="P133" s="55">
        <f t="shared" si="125"/>
        <v>0.55555555555555558</v>
      </c>
      <c r="Q133" s="55">
        <f t="shared" si="125"/>
        <v>0.92054794520547956</v>
      </c>
      <c r="R133" s="4">
        <f t="shared" si="117"/>
        <v>0.81640045718410881</v>
      </c>
      <c r="S133" s="4">
        <f t="shared" si="117"/>
        <v>0.81640045718410881</v>
      </c>
      <c r="T133" s="4">
        <f t="shared" si="117"/>
        <v>0.81640045718410881</v>
      </c>
      <c r="U133" s="4">
        <f t="shared" si="117"/>
        <v>0.81640045718410881</v>
      </c>
      <c r="V133" s="4">
        <f t="shared" si="117"/>
        <v>0.81640045718410881</v>
      </c>
      <c r="W133" s="4">
        <f t="shared" si="117"/>
        <v>0.81640045718410881</v>
      </c>
      <c r="X133" s="4">
        <f t="shared" si="117"/>
        <v>0.81640045718410881</v>
      </c>
      <c r="Y133" s="4">
        <f t="shared" si="117"/>
        <v>0.81640045718410881</v>
      </c>
      <c r="Z133" s="4">
        <f t="shared" si="117"/>
        <v>0.81640045718410881</v>
      </c>
      <c r="AA133" s="4">
        <f t="shared" si="117"/>
        <v>0.81640045718410881</v>
      </c>
      <c r="AB133" s="4">
        <f t="shared" si="118"/>
        <v>0.81640045718410881</v>
      </c>
      <c r="AC133" s="4">
        <f t="shared" si="118"/>
        <v>0.81640045718410881</v>
      </c>
      <c r="AD133" s="4">
        <f t="shared" si="118"/>
        <v>0.81640045718410881</v>
      </c>
      <c r="AE133" s="4">
        <f t="shared" si="118"/>
        <v>0.81640045718410881</v>
      </c>
      <c r="AF133" s="4">
        <f t="shared" si="118"/>
        <v>0.81640045718410881</v>
      </c>
      <c r="AG133" s="4">
        <f t="shared" si="118"/>
        <v>0.81640045718410881</v>
      </c>
      <c r="AH133" s="4">
        <f t="shared" si="118"/>
        <v>0.81640045718410881</v>
      </c>
      <c r="AI133" s="4">
        <f t="shared" si="118"/>
        <v>0.81640045718410881</v>
      </c>
      <c r="AJ133" s="4">
        <f t="shared" si="118"/>
        <v>0.81640045718410881</v>
      </c>
      <c r="AK133" s="4">
        <f t="shared" si="118"/>
        <v>0.81640045718410881</v>
      </c>
      <c r="AL133" s="4">
        <f t="shared" si="119"/>
        <v>0.81640045718410881</v>
      </c>
      <c r="AM133" s="4">
        <f t="shared" si="119"/>
        <v>0.81640045718410881</v>
      </c>
      <c r="AN133" s="4">
        <f t="shared" si="119"/>
        <v>0.81640045718410881</v>
      </c>
      <c r="AO133" s="4">
        <f t="shared" si="119"/>
        <v>0.81640045718410881</v>
      </c>
      <c r="AP133" s="4">
        <f t="shared" si="119"/>
        <v>0.81640045718410881</v>
      </c>
      <c r="AQ133" s="4">
        <f t="shared" si="119"/>
        <v>0.81640045718410881</v>
      </c>
      <c r="AR133" s="4">
        <f t="shared" si="119"/>
        <v>0.81640045718410881</v>
      </c>
      <c r="AS133" s="4">
        <f t="shared" si="119"/>
        <v>0.81640045718410881</v>
      </c>
      <c r="AT133" s="4">
        <f t="shared" si="119"/>
        <v>0.81640045718410881</v>
      </c>
      <c r="AU133" s="4">
        <f t="shared" si="119"/>
        <v>0.81640045718410881</v>
      </c>
    </row>
    <row r="134" spans="1:47">
      <c r="A134" s="120"/>
      <c r="B134" s="120"/>
      <c r="C134" s="37" t="s">
        <v>219</v>
      </c>
      <c r="D134" s="87" t="s">
        <v>63</v>
      </c>
      <c r="E134" s="87"/>
      <c r="F134" s="101" t="s">
        <v>160</v>
      </c>
      <c r="G134" s="101">
        <f t="shared" si="115"/>
        <v>0.76987022915102776</v>
      </c>
      <c r="H134" s="56">
        <f t="shared" ref="H134:Q134" si="126">H119/H117</f>
        <v>0.91803278688524637</v>
      </c>
      <c r="I134" s="56">
        <f t="shared" si="126"/>
        <v>0.57188498402555887</v>
      </c>
      <c r="J134" s="56">
        <f t="shared" si="126"/>
        <v>0.87053571428571408</v>
      </c>
      <c r="K134" s="56">
        <f t="shared" si="126"/>
        <v>0.875</v>
      </c>
      <c r="L134" s="56">
        <f t="shared" si="126"/>
        <v>0.90909090909090906</v>
      </c>
      <c r="M134" s="56">
        <f t="shared" si="126"/>
        <v>0.8630136986301371</v>
      </c>
      <c r="N134" s="56">
        <f t="shared" si="126"/>
        <v>0.54850746268656725</v>
      </c>
      <c r="O134" s="56">
        <f t="shared" si="126"/>
        <v>0.8571428571428571</v>
      </c>
      <c r="P134" s="56">
        <f t="shared" si="126"/>
        <v>0.77777777777777779</v>
      </c>
      <c r="Q134" s="56">
        <f t="shared" si="126"/>
        <v>0.57534246575342474</v>
      </c>
      <c r="R134" s="38">
        <f t="shared" si="117"/>
        <v>0.76987022915102776</v>
      </c>
      <c r="S134" s="38">
        <f t="shared" si="117"/>
        <v>0.76987022915102776</v>
      </c>
      <c r="T134" s="38">
        <f t="shared" si="117"/>
        <v>0.76987022915102776</v>
      </c>
      <c r="U134" s="38">
        <f t="shared" si="117"/>
        <v>0.76987022915102776</v>
      </c>
      <c r="V134" s="38">
        <f t="shared" si="117"/>
        <v>0.76987022915102776</v>
      </c>
      <c r="W134" s="38">
        <f t="shared" si="117"/>
        <v>0.76987022915102776</v>
      </c>
      <c r="X134" s="38">
        <f t="shared" si="117"/>
        <v>0.76987022915102776</v>
      </c>
      <c r="Y134" s="38">
        <f t="shared" si="117"/>
        <v>0.76987022915102776</v>
      </c>
      <c r="Z134" s="38">
        <f t="shared" si="117"/>
        <v>0.76987022915102776</v>
      </c>
      <c r="AA134" s="38">
        <f t="shared" si="117"/>
        <v>0.76987022915102776</v>
      </c>
      <c r="AB134" s="38">
        <f t="shared" si="118"/>
        <v>0.76987022915102776</v>
      </c>
      <c r="AC134" s="38">
        <f t="shared" si="118"/>
        <v>0.76987022915102776</v>
      </c>
      <c r="AD134" s="38">
        <f t="shared" si="118"/>
        <v>0.76987022915102776</v>
      </c>
      <c r="AE134" s="38">
        <f t="shared" si="118"/>
        <v>0.76987022915102776</v>
      </c>
      <c r="AF134" s="38">
        <f t="shared" si="118"/>
        <v>0.76987022915102776</v>
      </c>
      <c r="AG134" s="38">
        <f t="shared" si="118"/>
        <v>0.76987022915102776</v>
      </c>
      <c r="AH134" s="38">
        <f t="shared" si="118"/>
        <v>0.76987022915102776</v>
      </c>
      <c r="AI134" s="38">
        <f t="shared" si="118"/>
        <v>0.76987022915102776</v>
      </c>
      <c r="AJ134" s="38">
        <f t="shared" si="118"/>
        <v>0.76987022915102776</v>
      </c>
      <c r="AK134" s="38">
        <f t="shared" si="118"/>
        <v>0.76987022915102776</v>
      </c>
      <c r="AL134" s="38">
        <f t="shared" si="119"/>
        <v>0.76987022915102776</v>
      </c>
      <c r="AM134" s="38">
        <f t="shared" si="119"/>
        <v>0.76987022915102776</v>
      </c>
      <c r="AN134" s="38">
        <f t="shared" si="119"/>
        <v>0.76987022915102776</v>
      </c>
      <c r="AO134" s="38">
        <f t="shared" si="119"/>
        <v>0.76987022915102776</v>
      </c>
      <c r="AP134" s="38">
        <f t="shared" si="119"/>
        <v>0.76987022915102776</v>
      </c>
      <c r="AQ134" s="38">
        <f t="shared" si="119"/>
        <v>0.76987022915102776</v>
      </c>
      <c r="AR134" s="38">
        <f t="shared" si="119"/>
        <v>0.76987022915102776</v>
      </c>
      <c r="AS134" s="38">
        <f t="shared" si="119"/>
        <v>0.76987022915102776</v>
      </c>
      <c r="AT134" s="38">
        <f t="shared" si="119"/>
        <v>0.76987022915102776</v>
      </c>
      <c r="AU134" s="38">
        <f t="shared" si="119"/>
        <v>0.76987022915102776</v>
      </c>
    </row>
    <row r="136" spans="1:47">
      <c r="C136" s="9" t="s">
        <v>402</v>
      </c>
    </row>
    <row r="137" spans="1:47">
      <c r="C137" s="10" t="s">
        <v>220</v>
      </c>
    </row>
    <row r="138" spans="1:47">
      <c r="C138" s="10" t="s">
        <v>221</v>
      </c>
    </row>
    <row r="139" spans="1:47">
      <c r="C139" s="10" t="s">
        <v>222</v>
      </c>
    </row>
    <row r="140" spans="1:47">
      <c r="C140" s="10" t="s">
        <v>223</v>
      </c>
    </row>
    <row r="141" spans="1:47">
      <c r="B141" s="66"/>
    </row>
    <row r="142" spans="1:47">
      <c r="B142" s="66"/>
    </row>
    <row r="143" spans="1:47">
      <c r="B143" s="66"/>
    </row>
    <row r="144" spans="1:47">
      <c r="B144" s="66"/>
      <c r="F144" s="70"/>
      <c r="G144" s="70" t="s">
        <v>224</v>
      </c>
      <c r="H144" s="34">
        <f t="shared" ref="H144:P144" si="127">I144-1</f>
        <v>2015</v>
      </c>
      <c r="I144" s="34">
        <f t="shared" si="127"/>
        <v>2016</v>
      </c>
      <c r="J144" s="34">
        <f t="shared" si="127"/>
        <v>2017</v>
      </c>
      <c r="K144" s="34">
        <f t="shared" si="127"/>
        <v>2018</v>
      </c>
      <c r="L144" s="34">
        <f t="shared" si="127"/>
        <v>2019</v>
      </c>
      <c r="M144" s="34">
        <f t="shared" si="127"/>
        <v>2020</v>
      </c>
      <c r="N144" s="34">
        <f t="shared" si="127"/>
        <v>2021</v>
      </c>
      <c r="O144" s="34">
        <f t="shared" si="127"/>
        <v>2022</v>
      </c>
      <c r="P144" s="34">
        <f t="shared" si="127"/>
        <v>2023</v>
      </c>
      <c r="Q144" s="34">
        <f>ref!B4</f>
        <v>2024</v>
      </c>
    </row>
    <row r="145" spans="2:17">
      <c r="B145" s="66"/>
      <c r="F145" s="70"/>
      <c r="G145" s="71" t="s">
        <v>225</v>
      </c>
      <c r="H145" s="10" t="str">
        <f>IF(VLOOKUP($G145,ref!$A$12:$AT$35,MATCH(H$1,ref!$12:$12,0),FALSE),"O","")</f>
        <v/>
      </c>
      <c r="I145" s="10" t="str">
        <f>IF(VLOOKUP($G145,ref!$A$12:$AT$35,MATCH(I$1,ref!$12:$12,0),FALSE),"O","")</f>
        <v/>
      </c>
      <c r="J145" s="10" t="str">
        <f>IF(VLOOKUP($G145,ref!$A$12:$AT$35,MATCH(J$1,ref!$12:$12,0),FALSE),"O","")</f>
        <v/>
      </c>
      <c r="K145" s="10" t="str">
        <f>IF(VLOOKUP($G145,ref!$A$12:$AT$35,MATCH(K$1,ref!$12:$12,0),FALSE),"O","")</f>
        <v>O</v>
      </c>
      <c r="L145" s="10" t="str">
        <f>IF(VLOOKUP($G145,ref!$A$12:$AT$35,MATCH(L$1,ref!$12:$12,0),FALSE),"O","")</f>
        <v>O</v>
      </c>
      <c r="M145" s="10" t="str">
        <f>IF(VLOOKUP($G145,ref!$A$12:$AT$35,MATCH(M$1,ref!$12:$12,0),FALSE),"O","")</f>
        <v/>
      </c>
      <c r="N145" s="10" t="str">
        <f>IF(VLOOKUP($G145,ref!$A$12:$AT$35,MATCH(N$1,ref!$12:$12,0),FALSE),"O","")</f>
        <v/>
      </c>
      <c r="O145" s="10" t="str">
        <f>IF(VLOOKUP($G145,ref!$A$12:$AT$35,MATCH(O$1,ref!$12:$12,0),FALSE),"O","")</f>
        <v/>
      </c>
      <c r="P145" s="10" t="str">
        <f>IF(VLOOKUP($G145,ref!$A$12:$AT$35,MATCH(P$1,ref!$12:$12,0),FALSE),"O","")</f>
        <v/>
      </c>
      <c r="Q145" s="10" t="str">
        <f>IF(VLOOKUP($G145,ref!$A$12:$AT$35,MATCH(Q$1,ref!$12:$12,0),FALSE),"O","")</f>
        <v>O</v>
      </c>
    </row>
    <row r="146" spans="2:17">
      <c r="F146" s="71"/>
      <c r="G146" s="71" t="s">
        <v>226</v>
      </c>
      <c r="H146" s="10" t="str">
        <f>IF(VLOOKUP($G146,ref!$A$12:$AT$35,MATCH(H$1,ref!$12:$12,0),FALSE),"O","")</f>
        <v/>
      </c>
      <c r="I146" s="10" t="str">
        <f>IF(VLOOKUP($G146,ref!$A$12:$AT$35,MATCH(I$1,ref!$12:$12,0),FALSE),"O","")</f>
        <v/>
      </c>
      <c r="J146" s="10" t="str">
        <f>IF(VLOOKUP($G146,ref!$A$12:$AT$35,MATCH(J$1,ref!$12:$12,0),FALSE),"O","")</f>
        <v/>
      </c>
      <c r="K146" s="10" t="str">
        <f>IF(VLOOKUP($G146,ref!$A$12:$AT$35,MATCH(K$1,ref!$12:$12,0),FALSE),"O","")</f>
        <v>O</v>
      </c>
      <c r="L146" s="10" t="str">
        <f>IF(VLOOKUP($G146,ref!$A$12:$AT$35,MATCH(L$1,ref!$12:$12,0),FALSE),"O","")</f>
        <v>O</v>
      </c>
      <c r="M146" s="10" t="str">
        <f>IF(VLOOKUP($G146,ref!$A$12:$AT$35,MATCH(M$1,ref!$12:$12,0),FALSE),"O","")</f>
        <v/>
      </c>
      <c r="N146" s="10" t="str">
        <f>IF(VLOOKUP($G146,ref!$A$12:$AT$35,MATCH(N$1,ref!$12:$12,0),FALSE),"O","")</f>
        <v/>
      </c>
      <c r="O146" s="10" t="str">
        <f>IF(VLOOKUP($G146,ref!$A$12:$AT$35,MATCH(O$1,ref!$12:$12,0),FALSE),"O","")</f>
        <v/>
      </c>
      <c r="P146" s="10" t="str">
        <f>IF(VLOOKUP($G146,ref!$A$12:$AT$35,MATCH(P$1,ref!$12:$12,0),FALSE),"O","")</f>
        <v/>
      </c>
      <c r="Q146" s="10" t="str">
        <f>IF(VLOOKUP($G146,ref!$A$12:$AT$35,MATCH(Q$1,ref!$12:$12,0),FALSE),"O","")</f>
        <v>O</v>
      </c>
    </row>
    <row r="147" spans="2:17">
      <c r="F147" s="71"/>
      <c r="G147" s="71" t="s">
        <v>227</v>
      </c>
      <c r="H147" s="10" t="str">
        <f>IF(VLOOKUP($G147,ref!$A$12:$AT$35,MATCH(H$1,ref!$12:$12,0),FALSE),"O","")</f>
        <v/>
      </c>
      <c r="I147" s="10" t="str">
        <f>IF(VLOOKUP($G147,ref!$A$12:$AT$35,MATCH(I$1,ref!$12:$12,0),FALSE),"O","")</f>
        <v/>
      </c>
      <c r="J147" s="10" t="str">
        <f>IF(VLOOKUP($G147,ref!$A$12:$AT$35,MATCH(J$1,ref!$12:$12,0),FALSE),"O","")</f>
        <v/>
      </c>
      <c r="K147" s="10" t="str">
        <f>IF(VLOOKUP($G147,ref!$A$12:$AT$35,MATCH(K$1,ref!$12:$12,0),FALSE),"O","")</f>
        <v>O</v>
      </c>
      <c r="L147" s="10" t="str">
        <f>IF(VLOOKUP($G147,ref!$A$12:$AT$35,MATCH(L$1,ref!$12:$12,0),FALSE),"O","")</f>
        <v>O</v>
      </c>
      <c r="M147" s="10" t="str">
        <f>IF(VLOOKUP($G147,ref!$A$12:$AT$35,MATCH(M$1,ref!$12:$12,0),FALSE),"O","")</f>
        <v/>
      </c>
      <c r="N147" s="10" t="str">
        <f>IF(VLOOKUP($G147,ref!$A$12:$AT$35,MATCH(N$1,ref!$12:$12,0),FALSE),"O","")</f>
        <v/>
      </c>
      <c r="O147" s="10" t="str">
        <f>IF(VLOOKUP($G147,ref!$A$12:$AT$35,MATCH(O$1,ref!$12:$12,0),FALSE),"O","")</f>
        <v/>
      </c>
      <c r="P147" s="10" t="str">
        <f>IF(VLOOKUP($G147,ref!$A$12:$AT$35,MATCH(P$1,ref!$12:$12,0),FALSE),"O","")</f>
        <v/>
      </c>
      <c r="Q147" s="10" t="str">
        <f>IF(VLOOKUP($G147,ref!$A$12:$AT$35,MATCH(Q$1,ref!$12:$12,0),FALSE),"O","")</f>
        <v>O</v>
      </c>
    </row>
    <row r="148" spans="2:17">
      <c r="F148" s="71"/>
      <c r="G148" s="71" t="s">
        <v>228</v>
      </c>
      <c r="H148" s="10" t="str">
        <f>IF(VLOOKUP($G148,ref!$A$12:$AT$35,MATCH(H$1,ref!$12:$12,0),FALSE),"O","")</f>
        <v/>
      </c>
      <c r="I148" s="10" t="str">
        <f>IF(VLOOKUP($G148,ref!$A$12:$AT$35,MATCH(I$1,ref!$12:$12,0),FALSE),"O","")</f>
        <v/>
      </c>
      <c r="J148" s="10" t="str">
        <f>IF(VLOOKUP($G148,ref!$A$12:$AT$35,MATCH(J$1,ref!$12:$12,0),FALSE),"O","")</f>
        <v/>
      </c>
      <c r="K148" s="10" t="str">
        <f>IF(VLOOKUP($G148,ref!$A$12:$AT$35,MATCH(K$1,ref!$12:$12,0),FALSE),"O","")</f>
        <v>O</v>
      </c>
      <c r="L148" s="10" t="str">
        <f>IF(VLOOKUP($G148,ref!$A$12:$AT$35,MATCH(L$1,ref!$12:$12,0),FALSE),"O","")</f>
        <v>O</v>
      </c>
      <c r="M148" s="10" t="str">
        <f>IF(VLOOKUP($G148,ref!$A$12:$AT$35,MATCH(M$1,ref!$12:$12,0),FALSE),"O","")</f>
        <v/>
      </c>
      <c r="N148" s="10" t="str">
        <f>IF(VLOOKUP($G148,ref!$A$12:$AT$35,MATCH(N$1,ref!$12:$12,0),FALSE),"O","")</f>
        <v/>
      </c>
      <c r="O148" s="10" t="str">
        <f>IF(VLOOKUP($G148,ref!$A$12:$AT$35,MATCH(O$1,ref!$12:$12,0),FALSE),"O","")</f>
        <v/>
      </c>
      <c r="P148" s="10" t="str">
        <f>IF(VLOOKUP($G148,ref!$A$12:$AT$35,MATCH(P$1,ref!$12:$12,0),FALSE),"O","")</f>
        <v/>
      </c>
      <c r="Q148" s="10" t="str">
        <f>IF(VLOOKUP($G148,ref!$A$12:$AT$35,MATCH(Q$1,ref!$12:$12,0),FALSE),"O","")</f>
        <v>O</v>
      </c>
    </row>
    <row r="149" spans="2:17">
      <c r="F149" s="71"/>
      <c r="G149" s="71" t="s">
        <v>229</v>
      </c>
      <c r="H149" s="10" t="str">
        <f>IF(VLOOKUP($G149,ref!$A$12:$AT$35,MATCH(H$1,ref!$12:$12,0),FALSE),"O","")</f>
        <v/>
      </c>
      <c r="I149" s="10" t="str">
        <f>IF(VLOOKUP($G149,ref!$A$12:$AT$35,MATCH(I$1,ref!$12:$12,0),FALSE),"O","")</f>
        <v/>
      </c>
      <c r="J149" s="10" t="str">
        <f>IF(VLOOKUP($G149,ref!$A$12:$AT$35,MATCH(J$1,ref!$12:$12,0),FALSE),"O","")</f>
        <v/>
      </c>
      <c r="K149" s="10" t="str">
        <f>IF(VLOOKUP($G149,ref!$A$12:$AT$35,MATCH(K$1,ref!$12:$12,0),FALSE),"O","")</f>
        <v>O</v>
      </c>
      <c r="L149" s="10" t="str">
        <f>IF(VLOOKUP($G149,ref!$A$12:$AT$35,MATCH(L$1,ref!$12:$12,0),FALSE),"O","")</f>
        <v>O</v>
      </c>
      <c r="M149" s="10" t="str">
        <f>IF(VLOOKUP($G149,ref!$A$12:$AT$35,MATCH(M$1,ref!$12:$12,0),FALSE),"O","")</f>
        <v/>
      </c>
      <c r="N149" s="10" t="str">
        <f>IF(VLOOKUP($G149,ref!$A$12:$AT$35,MATCH(N$1,ref!$12:$12,0),FALSE),"O","")</f>
        <v/>
      </c>
      <c r="O149" s="10" t="str">
        <f>IF(VLOOKUP($G149,ref!$A$12:$AT$35,MATCH(O$1,ref!$12:$12,0),FALSE),"O","")</f>
        <v/>
      </c>
      <c r="P149" s="10" t="str">
        <f>IF(VLOOKUP($G149,ref!$A$12:$AT$35,MATCH(P$1,ref!$12:$12,0),FALSE),"O","")</f>
        <v/>
      </c>
      <c r="Q149" s="10" t="str">
        <f>IF(VLOOKUP($G149,ref!$A$12:$AT$35,MATCH(Q$1,ref!$12:$12,0),FALSE),"O","")</f>
        <v>O</v>
      </c>
    </row>
    <row r="150" spans="2:17">
      <c r="F150" s="71"/>
      <c r="G150" s="71" t="s">
        <v>230</v>
      </c>
      <c r="H150" s="10" t="str">
        <f>IF(VLOOKUP($G150,ref!$A$12:$AT$35,MATCH(H$1,ref!$12:$12,0),FALSE),"O","")</f>
        <v/>
      </c>
      <c r="I150" s="10" t="str">
        <f>IF(VLOOKUP($G150,ref!$A$12:$AT$35,MATCH(I$1,ref!$12:$12,0),FALSE),"O","")</f>
        <v/>
      </c>
      <c r="J150" s="10" t="str">
        <f>IF(VLOOKUP($G150,ref!$A$12:$AT$35,MATCH(J$1,ref!$12:$12,0),FALSE),"O","")</f>
        <v/>
      </c>
      <c r="K150" s="10" t="str">
        <f>IF(VLOOKUP($G150,ref!$A$12:$AT$35,MATCH(K$1,ref!$12:$12,0),FALSE),"O","")</f>
        <v>O</v>
      </c>
      <c r="L150" s="10" t="str">
        <f>IF(VLOOKUP($G150,ref!$A$12:$AT$35,MATCH(L$1,ref!$12:$12,0),FALSE),"O","")</f>
        <v>O</v>
      </c>
      <c r="M150" s="10" t="str">
        <f>IF(VLOOKUP($G150,ref!$A$12:$AT$35,MATCH(M$1,ref!$12:$12,0),FALSE),"O","")</f>
        <v/>
      </c>
      <c r="N150" s="10" t="str">
        <f>IF(VLOOKUP($G150,ref!$A$12:$AT$35,MATCH(N$1,ref!$12:$12,0),FALSE),"O","")</f>
        <v/>
      </c>
      <c r="O150" s="10" t="str">
        <f>IF(VLOOKUP($G150,ref!$A$12:$AT$35,MATCH(O$1,ref!$12:$12,0),FALSE),"O","")</f>
        <v/>
      </c>
      <c r="P150" s="10" t="str">
        <f>IF(VLOOKUP($G150,ref!$A$12:$AT$35,MATCH(P$1,ref!$12:$12,0),FALSE),"O","")</f>
        <v/>
      </c>
      <c r="Q150" s="10" t="str">
        <f>IF(VLOOKUP($G150,ref!$A$12:$AT$35,MATCH(Q$1,ref!$12:$12,0),FALSE),"O","")</f>
        <v>O</v>
      </c>
    </row>
    <row r="151" spans="2:17">
      <c r="F151" s="71"/>
      <c r="G151" s="71" t="s">
        <v>231</v>
      </c>
      <c r="H151" s="10" t="str">
        <f>IF(VLOOKUP($G151,ref!$A$12:$AT$35,MATCH(H$1,ref!$12:$12,0),FALSE),"O","")</f>
        <v/>
      </c>
      <c r="I151" s="10" t="str">
        <f>IF(VLOOKUP($G151,ref!$A$12:$AT$35,MATCH(I$1,ref!$12:$12,0),FALSE),"O","")</f>
        <v/>
      </c>
      <c r="J151" s="10" t="str">
        <f>IF(VLOOKUP($G151,ref!$A$12:$AT$35,MATCH(J$1,ref!$12:$12,0),FALSE),"O","")</f>
        <v/>
      </c>
      <c r="K151" s="10" t="str">
        <f>IF(VLOOKUP($G151,ref!$A$12:$AT$35,MATCH(K$1,ref!$12:$12,0),FALSE),"O","")</f>
        <v>O</v>
      </c>
      <c r="L151" s="10" t="str">
        <f>IF(VLOOKUP($G151,ref!$A$12:$AT$35,MATCH(L$1,ref!$12:$12,0),FALSE),"O","")</f>
        <v>O</v>
      </c>
      <c r="M151" s="10" t="str">
        <f>IF(VLOOKUP($G151,ref!$A$12:$AT$35,MATCH(M$1,ref!$12:$12,0),FALSE),"O","")</f>
        <v/>
      </c>
      <c r="N151" s="10" t="str">
        <f>IF(VLOOKUP($G151,ref!$A$12:$AT$35,MATCH(N$1,ref!$12:$12,0),FALSE),"O","")</f>
        <v/>
      </c>
      <c r="O151" s="10" t="str">
        <f>IF(VLOOKUP($G151,ref!$A$12:$AT$35,MATCH(O$1,ref!$12:$12,0),FALSE),"O","")</f>
        <v/>
      </c>
      <c r="P151" s="10" t="str">
        <f>IF(VLOOKUP($G151,ref!$A$12:$AT$35,MATCH(P$1,ref!$12:$12,0),FALSE),"O","")</f>
        <v/>
      </c>
      <c r="Q151" s="10" t="str">
        <f>IF(VLOOKUP($G151,ref!$A$12:$AT$35,MATCH(Q$1,ref!$12:$12,0),FALSE),"O","")</f>
        <v>O</v>
      </c>
    </row>
    <row r="152" spans="2:17">
      <c r="F152" s="71"/>
      <c r="G152" s="71" t="s">
        <v>232</v>
      </c>
      <c r="H152" s="10" t="str">
        <f>IF(VLOOKUP($G152,ref!$A$12:$AT$35,MATCH(H$1,ref!$12:$12,0),FALSE),"O","")</f>
        <v/>
      </c>
      <c r="I152" s="10" t="str">
        <f>IF(VLOOKUP($G152,ref!$A$12:$AT$35,MATCH(I$1,ref!$12:$12,0),FALSE),"O","")</f>
        <v/>
      </c>
      <c r="J152" s="10" t="str">
        <f>IF(VLOOKUP($G152,ref!$A$12:$AT$35,MATCH(J$1,ref!$12:$12,0),FALSE),"O","")</f>
        <v/>
      </c>
      <c r="K152" s="10" t="str">
        <f>IF(VLOOKUP($G152,ref!$A$12:$AT$35,MATCH(K$1,ref!$12:$12,0),FALSE),"O","")</f>
        <v>O</v>
      </c>
      <c r="L152" s="10" t="str">
        <f>IF(VLOOKUP($G152,ref!$A$12:$AT$35,MATCH(L$1,ref!$12:$12,0),FALSE),"O","")</f>
        <v>O</v>
      </c>
      <c r="M152" s="10" t="str">
        <f>IF(VLOOKUP($G152,ref!$A$12:$AT$35,MATCH(M$1,ref!$12:$12,0),FALSE),"O","")</f>
        <v/>
      </c>
      <c r="N152" s="10" t="str">
        <f>IF(VLOOKUP($G152,ref!$A$12:$AT$35,MATCH(N$1,ref!$12:$12,0),FALSE),"O","")</f>
        <v/>
      </c>
      <c r="O152" s="10" t="str">
        <f>IF(VLOOKUP($G152,ref!$A$12:$AT$35,MATCH(O$1,ref!$12:$12,0),FALSE),"O","")</f>
        <v/>
      </c>
      <c r="P152" s="10" t="str">
        <f>IF(VLOOKUP($G152,ref!$A$12:$AT$35,MATCH(P$1,ref!$12:$12,0),FALSE),"O","")</f>
        <v/>
      </c>
      <c r="Q152" s="10" t="str">
        <f>IF(VLOOKUP($G152,ref!$A$12:$AT$35,MATCH(Q$1,ref!$12:$12,0),FALSE),"O","")</f>
        <v>O</v>
      </c>
    </row>
    <row r="153" spans="2:17">
      <c r="F153" s="71"/>
      <c r="G153" s="71" t="s">
        <v>233</v>
      </c>
      <c r="H153" s="10" t="str">
        <f>IF(VLOOKUP($G153,ref!$A$12:$AT$35,MATCH(H$1,ref!$12:$12,0),FALSE),"O","")</f>
        <v/>
      </c>
      <c r="I153" s="10" t="str">
        <f>IF(VLOOKUP($G153,ref!$A$12:$AT$35,MATCH(I$1,ref!$12:$12,0),FALSE),"O","")</f>
        <v/>
      </c>
      <c r="J153" s="10" t="str">
        <f>IF(VLOOKUP($G153,ref!$A$12:$AT$35,MATCH(J$1,ref!$12:$12,0),FALSE),"O","")</f>
        <v/>
      </c>
      <c r="K153" s="10" t="str">
        <f>IF(VLOOKUP($G153,ref!$A$12:$AT$35,MATCH(K$1,ref!$12:$12,0),FALSE),"O","")</f>
        <v>O</v>
      </c>
      <c r="L153" s="10" t="str">
        <f>IF(VLOOKUP($G153,ref!$A$12:$AT$35,MATCH(L$1,ref!$12:$12,0),FALSE),"O","")</f>
        <v>O</v>
      </c>
      <c r="M153" s="10" t="str">
        <f>IF(VLOOKUP($G153,ref!$A$12:$AT$35,MATCH(M$1,ref!$12:$12,0),FALSE),"O","")</f>
        <v/>
      </c>
      <c r="N153" s="10" t="str">
        <f>IF(VLOOKUP($G153,ref!$A$12:$AT$35,MATCH(N$1,ref!$12:$12,0),FALSE),"O","")</f>
        <v/>
      </c>
      <c r="O153" s="10" t="str">
        <f>IF(VLOOKUP($G153,ref!$A$12:$AT$35,MATCH(O$1,ref!$12:$12,0),FALSE),"O","")</f>
        <v/>
      </c>
      <c r="P153" s="10" t="str">
        <f>IF(VLOOKUP($G153,ref!$A$12:$AT$35,MATCH(P$1,ref!$12:$12,0),FALSE),"O","")</f>
        <v/>
      </c>
      <c r="Q153" s="10" t="str">
        <f>IF(VLOOKUP($G153,ref!$A$12:$AT$35,MATCH(Q$1,ref!$12:$12,0),FALSE),"O","")</f>
        <v>O</v>
      </c>
    </row>
    <row r="154" spans="2:17">
      <c r="F154" s="71"/>
      <c r="G154" s="71" t="s">
        <v>234</v>
      </c>
      <c r="H154" s="10" t="str">
        <f>IF(VLOOKUP($G154,ref!$A$12:$AT$35,MATCH(H$1,ref!$12:$12,0),FALSE),"O","")</f>
        <v/>
      </c>
      <c r="I154" s="10" t="str">
        <f>IF(VLOOKUP($G154,ref!$A$12:$AT$35,MATCH(I$1,ref!$12:$12,0),FALSE),"O","")</f>
        <v/>
      </c>
      <c r="J154" s="10" t="str">
        <f>IF(VLOOKUP($G154,ref!$A$12:$AT$35,MATCH(J$1,ref!$12:$12,0),FALSE),"O","")</f>
        <v/>
      </c>
      <c r="K154" s="10" t="str">
        <f>IF(VLOOKUP($G154,ref!$A$12:$AT$35,MATCH(K$1,ref!$12:$12,0),FALSE),"O","")</f>
        <v>O</v>
      </c>
      <c r="L154" s="10" t="str">
        <f>IF(VLOOKUP($G154,ref!$A$12:$AT$35,MATCH(L$1,ref!$12:$12,0),FALSE),"O","")</f>
        <v>O</v>
      </c>
      <c r="M154" s="10" t="str">
        <f>IF(VLOOKUP($G154,ref!$A$12:$AT$35,MATCH(M$1,ref!$12:$12,0),FALSE),"O","")</f>
        <v/>
      </c>
      <c r="N154" s="10" t="str">
        <f>IF(VLOOKUP($G154,ref!$A$12:$AT$35,MATCH(N$1,ref!$12:$12,0),FALSE),"O","")</f>
        <v/>
      </c>
      <c r="O154" s="10" t="str">
        <f>IF(VLOOKUP($G154,ref!$A$12:$AT$35,MATCH(O$1,ref!$12:$12,0),FALSE),"O","")</f>
        <v/>
      </c>
      <c r="P154" s="10" t="str">
        <f>IF(VLOOKUP($G154,ref!$A$12:$AT$35,MATCH(P$1,ref!$12:$12,0),FALSE),"O","")</f>
        <v/>
      </c>
      <c r="Q154" s="10" t="str">
        <f>IF(VLOOKUP($G154,ref!$A$12:$AT$35,MATCH(Q$1,ref!$12:$12,0),FALSE),"O","")</f>
        <v>O</v>
      </c>
    </row>
    <row r="155" spans="2:17">
      <c r="F155" s="71"/>
      <c r="G155" s="71" t="s">
        <v>235</v>
      </c>
      <c r="H155" s="10" t="str">
        <f>IF(VLOOKUP($G155,ref!$A$12:$AT$35,MATCH(H$1,ref!$12:$12,0),FALSE),"O","")</f>
        <v/>
      </c>
      <c r="I155" s="10" t="str">
        <f>IF(VLOOKUP($G155,ref!$A$12:$AT$35,MATCH(I$1,ref!$12:$12,0),FALSE),"O","")</f>
        <v/>
      </c>
      <c r="J155" s="10" t="str">
        <f>IF(VLOOKUP($G155,ref!$A$12:$AT$35,MATCH(J$1,ref!$12:$12,0),FALSE),"O","")</f>
        <v/>
      </c>
      <c r="K155" s="10" t="str">
        <f>IF(VLOOKUP($G155,ref!$A$12:$AT$35,MATCH(K$1,ref!$12:$12,0),FALSE),"O","")</f>
        <v>O</v>
      </c>
      <c r="L155" s="10" t="str">
        <f>IF(VLOOKUP($G155,ref!$A$12:$AT$35,MATCH(L$1,ref!$12:$12,0),FALSE),"O","")</f>
        <v>O</v>
      </c>
      <c r="M155" s="10" t="str">
        <f>IF(VLOOKUP($G155,ref!$A$12:$AT$35,MATCH(M$1,ref!$12:$12,0),FALSE),"O","")</f>
        <v/>
      </c>
      <c r="N155" s="10" t="str">
        <f>IF(VLOOKUP($G155,ref!$A$12:$AT$35,MATCH(N$1,ref!$12:$12,0),FALSE),"O","")</f>
        <v/>
      </c>
      <c r="O155" s="10" t="str">
        <f>IF(VLOOKUP($G155,ref!$A$12:$AT$35,MATCH(O$1,ref!$12:$12,0),FALSE),"O","")</f>
        <v/>
      </c>
      <c r="P155" s="10" t="str">
        <f>IF(VLOOKUP($G155,ref!$A$12:$AT$35,MATCH(P$1,ref!$12:$12,0),FALSE),"O","")</f>
        <v/>
      </c>
      <c r="Q155" s="10" t="str">
        <f>IF(VLOOKUP($G155,ref!$A$12:$AT$35,MATCH(Q$1,ref!$12:$12,0),FALSE),"O","")</f>
        <v>O</v>
      </c>
    </row>
    <row r="156" spans="2:17">
      <c r="F156" s="71"/>
      <c r="G156" s="71" t="s">
        <v>236</v>
      </c>
      <c r="H156" s="10" t="str">
        <f>IF(VLOOKUP($G156,ref!$A$12:$AT$35,MATCH(H$1,ref!$12:$12,0),FALSE),"O","")</f>
        <v/>
      </c>
      <c r="I156" s="10" t="str">
        <f>IF(VLOOKUP($G156,ref!$A$12:$AT$35,MATCH(I$1,ref!$12:$12,0),FALSE),"O","")</f>
        <v/>
      </c>
      <c r="J156" s="10" t="str">
        <f>IF(VLOOKUP($G156,ref!$A$12:$AT$35,MATCH(J$1,ref!$12:$12,0),FALSE),"O","")</f>
        <v/>
      </c>
      <c r="K156" s="10" t="str">
        <f>IF(VLOOKUP($G156,ref!$A$12:$AT$35,MATCH(K$1,ref!$12:$12,0),FALSE),"O","")</f>
        <v>O</v>
      </c>
      <c r="L156" s="10" t="str">
        <f>IF(VLOOKUP($G156,ref!$A$12:$AT$35,MATCH(L$1,ref!$12:$12,0),FALSE),"O","")</f>
        <v>O</v>
      </c>
      <c r="M156" s="10" t="str">
        <f>IF(VLOOKUP($G156,ref!$A$12:$AT$35,MATCH(M$1,ref!$12:$12,0),FALSE),"O","")</f>
        <v/>
      </c>
      <c r="N156" s="10" t="str">
        <f>IF(VLOOKUP($G156,ref!$A$12:$AT$35,MATCH(N$1,ref!$12:$12,0),FALSE),"O","")</f>
        <v/>
      </c>
      <c r="O156" s="10" t="str">
        <f>IF(VLOOKUP($G156,ref!$A$12:$AT$35,MATCH(O$1,ref!$12:$12,0),FALSE),"O","")</f>
        <v/>
      </c>
      <c r="P156" s="10" t="str">
        <f>IF(VLOOKUP($G156,ref!$A$12:$AT$35,MATCH(P$1,ref!$12:$12,0),FALSE),"O","")</f>
        <v/>
      </c>
      <c r="Q156" s="10" t="str">
        <f>IF(VLOOKUP($G156,ref!$A$12:$AT$35,MATCH(Q$1,ref!$12:$12,0),FALSE),"O","")</f>
        <v>O</v>
      </c>
    </row>
    <row r="157" spans="2:17">
      <c r="F157" s="71"/>
      <c r="G157" s="71" t="s">
        <v>237</v>
      </c>
      <c r="H157" s="10" t="str">
        <f>IF(VLOOKUP($G157,ref!$A$12:$AT$35,MATCH(H$1,ref!$12:$12,0),FALSE),"O","")</f>
        <v>O</v>
      </c>
      <c r="I157" s="10" t="str">
        <f>IF(VLOOKUP($G157,ref!$A$12:$AT$35,MATCH(I$1,ref!$12:$12,0),FALSE),"O","")</f>
        <v>O</v>
      </c>
      <c r="J157" s="10" t="str">
        <f>IF(VLOOKUP($G157,ref!$A$12:$AT$35,MATCH(J$1,ref!$12:$12,0),FALSE),"O","")</f>
        <v/>
      </c>
      <c r="K157" s="10" t="str">
        <f>IF(VLOOKUP($G157,ref!$A$12:$AT$35,MATCH(K$1,ref!$12:$12,0),FALSE),"O","")</f>
        <v>O</v>
      </c>
      <c r="L157" s="10" t="str">
        <f>IF(VLOOKUP($G157,ref!$A$12:$AT$35,MATCH(L$1,ref!$12:$12,0),FALSE),"O","")</f>
        <v>O</v>
      </c>
      <c r="M157" s="10" t="str">
        <f>IF(VLOOKUP($G157,ref!$A$12:$AT$35,MATCH(M$1,ref!$12:$12,0),FALSE),"O","")</f>
        <v/>
      </c>
      <c r="N157" s="10" t="str">
        <f>IF(VLOOKUP($G157,ref!$A$12:$AT$35,MATCH(N$1,ref!$12:$12,0),FALSE),"O","")</f>
        <v/>
      </c>
      <c r="O157" s="10" t="str">
        <f>IF(VLOOKUP($G157,ref!$A$12:$AT$35,MATCH(O$1,ref!$12:$12,0),FALSE),"O","")</f>
        <v/>
      </c>
      <c r="P157" s="10" t="str">
        <f>IF(VLOOKUP($G157,ref!$A$12:$AT$35,MATCH(P$1,ref!$12:$12,0),FALSE),"O","")</f>
        <v/>
      </c>
      <c r="Q157" s="10" t="str">
        <f>IF(VLOOKUP($G157,ref!$A$12:$AT$35,MATCH(Q$1,ref!$12:$12,0),FALSE),"O","")</f>
        <v>O</v>
      </c>
    </row>
    <row r="158" spans="2:17">
      <c r="F158" s="71"/>
      <c r="G158" s="71" t="s">
        <v>238</v>
      </c>
      <c r="H158" s="10" t="str">
        <f>IF(VLOOKUP($G158,ref!$A$12:$AT$35,MATCH(H$1,ref!$12:$12,0),FALSE),"O","")</f>
        <v/>
      </c>
      <c r="I158" s="10" t="str">
        <f>IF(VLOOKUP($G158,ref!$A$12:$AT$35,MATCH(I$1,ref!$12:$12,0),FALSE),"O","")</f>
        <v/>
      </c>
      <c r="J158" s="10" t="str">
        <f>IF(VLOOKUP($G158,ref!$A$12:$AT$35,MATCH(J$1,ref!$12:$12,0),FALSE),"O","")</f>
        <v/>
      </c>
      <c r="K158" s="10" t="str">
        <f>IF(VLOOKUP($G158,ref!$A$12:$AT$35,MATCH(K$1,ref!$12:$12,0),FALSE),"O","")</f>
        <v>O</v>
      </c>
      <c r="L158" s="10" t="str">
        <f>IF(VLOOKUP($G158,ref!$A$12:$AT$35,MATCH(L$1,ref!$12:$12,0),FALSE),"O","")</f>
        <v>O</v>
      </c>
      <c r="M158" s="10" t="str">
        <f>IF(VLOOKUP($G158,ref!$A$12:$AT$35,MATCH(M$1,ref!$12:$12,0),FALSE),"O","")</f>
        <v/>
      </c>
      <c r="N158" s="10" t="str">
        <f>IF(VLOOKUP($G158,ref!$A$12:$AT$35,MATCH(N$1,ref!$12:$12,0),FALSE),"O","")</f>
        <v/>
      </c>
      <c r="O158" s="10" t="str">
        <f>IF(VLOOKUP($G158,ref!$A$12:$AT$35,MATCH(O$1,ref!$12:$12,0),FALSE),"O","")</f>
        <v/>
      </c>
      <c r="P158" s="10" t="str">
        <f>IF(VLOOKUP($G158,ref!$A$12:$AT$35,MATCH(P$1,ref!$12:$12,0),FALSE),"O","")</f>
        <v/>
      </c>
      <c r="Q158" s="10" t="str">
        <f>IF(VLOOKUP($G158,ref!$A$12:$AT$35,MATCH(Q$1,ref!$12:$12,0),FALSE),"O","")</f>
        <v>O</v>
      </c>
    </row>
    <row r="159" spans="2:17">
      <c r="F159" s="71"/>
      <c r="G159" s="71" t="s">
        <v>239</v>
      </c>
      <c r="H159" s="10" t="str">
        <f>IF(VLOOKUP($G159,ref!$A$12:$AT$35,MATCH(H$1,ref!$12:$12,0),FALSE),"O","")</f>
        <v/>
      </c>
      <c r="I159" s="10" t="str">
        <f>IF(VLOOKUP($G159,ref!$A$12:$AT$35,MATCH(I$1,ref!$12:$12,0),FALSE),"O","")</f>
        <v/>
      </c>
      <c r="J159" s="10" t="str">
        <f>IF(VLOOKUP($G159,ref!$A$12:$AT$35,MATCH(J$1,ref!$12:$12,0),FALSE),"O","")</f>
        <v/>
      </c>
      <c r="K159" s="10" t="str">
        <f>IF(VLOOKUP($G159,ref!$A$12:$AT$35,MATCH(K$1,ref!$12:$12,0),FALSE),"O","")</f>
        <v>O</v>
      </c>
      <c r="L159" s="10" t="str">
        <f>IF(VLOOKUP($G159,ref!$A$12:$AT$35,MATCH(L$1,ref!$12:$12,0),FALSE),"O","")</f>
        <v>O</v>
      </c>
      <c r="M159" s="10" t="str">
        <f>IF(VLOOKUP($G159,ref!$A$12:$AT$35,MATCH(M$1,ref!$12:$12,0),FALSE),"O","")</f>
        <v/>
      </c>
      <c r="N159" s="10" t="str">
        <f>IF(VLOOKUP($G159,ref!$A$12:$AT$35,MATCH(N$1,ref!$12:$12,0),FALSE),"O","")</f>
        <v/>
      </c>
      <c r="O159" s="10" t="str">
        <f>IF(VLOOKUP($G159,ref!$A$12:$AT$35,MATCH(O$1,ref!$12:$12,0),FALSE),"O","")</f>
        <v/>
      </c>
      <c r="P159" s="10" t="str">
        <f>IF(VLOOKUP($G159,ref!$A$12:$AT$35,MATCH(P$1,ref!$12:$12,0),FALSE),"O","")</f>
        <v/>
      </c>
      <c r="Q159" s="10" t="str">
        <f>IF(VLOOKUP($G159,ref!$A$12:$AT$35,MATCH(Q$1,ref!$12:$12,0),FALSE),"O","")</f>
        <v>O</v>
      </c>
    </row>
  </sheetData>
  <mergeCells count="33">
    <mergeCell ref="A127:A134"/>
    <mergeCell ref="B37:B40"/>
    <mergeCell ref="A107:A126"/>
    <mergeCell ref="B79:B81"/>
    <mergeCell ref="B82:B84"/>
    <mergeCell ref="B120:B122"/>
    <mergeCell ref="B127:B128"/>
    <mergeCell ref="B129:B134"/>
    <mergeCell ref="B67:B75"/>
    <mergeCell ref="B123:B126"/>
    <mergeCell ref="B114:B116"/>
    <mergeCell ref="B91:B96"/>
    <mergeCell ref="A59:A66"/>
    <mergeCell ref="B41:B45"/>
    <mergeCell ref="B101:B106"/>
    <mergeCell ref="B51:B54"/>
    <mergeCell ref="A25:A54"/>
    <mergeCell ref="B2:B19"/>
    <mergeCell ref="B85:B88"/>
    <mergeCell ref="A67:A88"/>
    <mergeCell ref="B117:B119"/>
    <mergeCell ref="B25:B28"/>
    <mergeCell ref="B59:B66"/>
    <mergeCell ref="B107:B113"/>
    <mergeCell ref="A89:A96"/>
    <mergeCell ref="A2:A24"/>
    <mergeCell ref="A101:A106"/>
    <mergeCell ref="B29:B32"/>
    <mergeCell ref="B46:B50"/>
    <mergeCell ref="B89:B90"/>
    <mergeCell ref="B76:B78"/>
    <mergeCell ref="B33:B36"/>
    <mergeCell ref="B20:B2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4"/>
  <sheetViews>
    <sheetView zoomScaleNormal="100" workbookViewId="0"/>
  </sheetViews>
  <sheetFormatPr defaultRowHeight="14"/>
  <cols>
    <col min="1" max="2" width="45.61328125" style="117" customWidth="1"/>
    <col min="3" max="12" width="10.4609375" bestFit="1" customWidth="1"/>
  </cols>
  <sheetData>
    <row r="1" spans="1:12">
      <c r="A1" s="115" t="s">
        <v>607</v>
      </c>
      <c r="B1" s="116" t="s">
        <v>606</v>
      </c>
      <c r="C1" s="104">
        <v>2015</v>
      </c>
      <c r="D1" s="104">
        <v>2016</v>
      </c>
      <c r="E1" s="104">
        <v>2017</v>
      </c>
      <c r="F1" s="104">
        <v>2018</v>
      </c>
      <c r="G1" s="104">
        <v>2019</v>
      </c>
      <c r="H1" s="104">
        <v>2020</v>
      </c>
      <c r="I1" s="104">
        <v>2021</v>
      </c>
      <c r="J1" s="104">
        <v>2022</v>
      </c>
      <c r="K1" s="104">
        <v>2023</v>
      </c>
      <c r="L1" s="104">
        <v>2024</v>
      </c>
    </row>
    <row r="2" spans="1:12">
      <c r="A2" s="115" t="s">
        <v>11</v>
      </c>
      <c r="B2" s="116" t="s">
        <v>403</v>
      </c>
      <c r="C2" s="114">
        <v>317549</v>
      </c>
      <c r="D2" s="114">
        <v>296385</v>
      </c>
      <c r="E2" s="114">
        <v>300529</v>
      </c>
      <c r="F2" s="114">
        <v>360857</v>
      </c>
      <c r="G2" s="114">
        <v>427585</v>
      </c>
      <c r="H2" s="114">
        <v>119957</v>
      </c>
      <c r="I2" s="114">
        <v>336251</v>
      </c>
      <c r="J2" s="114">
        <v>503019</v>
      </c>
      <c r="K2" s="114">
        <v>493777</v>
      </c>
      <c r="L2" s="114">
        <v>601530</v>
      </c>
    </row>
    <row r="3" spans="1:12">
      <c r="A3" s="115" t="s">
        <v>13</v>
      </c>
      <c r="B3" s="116" t="s">
        <v>404</v>
      </c>
      <c r="C3" s="114">
        <v>125299</v>
      </c>
      <c r="D3" s="114">
        <v>103500</v>
      </c>
      <c r="E3" s="114">
        <v>117081</v>
      </c>
      <c r="F3" s="114">
        <v>162463</v>
      </c>
      <c r="G3" s="114">
        <v>212440</v>
      </c>
      <c r="H3" s="114">
        <v>54451</v>
      </c>
      <c r="I3" s="114">
        <v>174174</v>
      </c>
      <c r="J3" s="114">
        <v>298727</v>
      </c>
      <c r="K3" s="114">
        <v>265902</v>
      </c>
      <c r="L3" s="114">
        <v>318069</v>
      </c>
    </row>
    <row r="4" spans="1:12">
      <c r="A4" s="115" t="s">
        <v>15</v>
      </c>
      <c r="B4" s="116" t="s">
        <v>405</v>
      </c>
      <c r="C4" s="114">
        <v>192250</v>
      </c>
      <c r="D4" s="114">
        <v>192885</v>
      </c>
      <c r="E4" s="114">
        <v>183448</v>
      </c>
      <c r="F4" s="114">
        <v>198394</v>
      </c>
      <c r="G4" s="114">
        <v>215145</v>
      </c>
      <c r="H4" s="114">
        <v>65506</v>
      </c>
      <c r="I4" s="114">
        <v>162077</v>
      </c>
      <c r="J4" s="114">
        <v>204292</v>
      </c>
      <c r="K4" s="114">
        <v>227875</v>
      </c>
      <c r="L4" s="114">
        <v>283461</v>
      </c>
    </row>
    <row r="5" spans="1:12">
      <c r="A5" s="115" t="s">
        <v>17</v>
      </c>
      <c r="B5" s="116" t="s">
        <v>406</v>
      </c>
      <c r="C5" s="114">
        <v>4469</v>
      </c>
      <c r="D5" s="114">
        <v>7174</v>
      </c>
      <c r="E5" s="114">
        <v>7308</v>
      </c>
      <c r="F5" s="114">
        <v>5646</v>
      </c>
      <c r="G5" s="114">
        <v>11025</v>
      </c>
      <c r="H5" s="114">
        <v>0</v>
      </c>
      <c r="I5" s="114">
        <v>0</v>
      </c>
      <c r="J5" s="114">
        <v>3387</v>
      </c>
      <c r="K5" s="114">
        <v>8780</v>
      </c>
      <c r="L5" s="114">
        <v>13587</v>
      </c>
    </row>
    <row r="6" spans="1:12">
      <c r="A6" s="115" t="s">
        <v>19</v>
      </c>
      <c r="B6" s="116" t="s">
        <v>407</v>
      </c>
      <c r="C6" s="114">
        <v>313080</v>
      </c>
      <c r="D6" s="114">
        <v>289211</v>
      </c>
      <c r="E6" s="114">
        <v>293221</v>
      </c>
      <c r="F6" s="114">
        <v>355211</v>
      </c>
      <c r="G6" s="114">
        <v>416560</v>
      </c>
      <c r="H6" s="114">
        <v>119957</v>
      </c>
      <c r="I6" s="114">
        <v>336251</v>
      </c>
      <c r="J6" s="114">
        <v>499632</v>
      </c>
      <c r="K6" s="114">
        <v>484997</v>
      </c>
      <c r="L6" s="114">
        <v>587943</v>
      </c>
    </row>
    <row r="7" spans="1:12">
      <c r="A7" s="115" t="s">
        <v>21</v>
      </c>
      <c r="B7" s="116" t="s">
        <v>408</v>
      </c>
      <c r="C7" s="114">
        <v>317549</v>
      </c>
      <c r="D7" s="114">
        <v>296385</v>
      </c>
      <c r="E7" s="114">
        <v>300529</v>
      </c>
      <c r="F7" s="114">
        <v>360857</v>
      </c>
      <c r="G7" s="114">
        <v>427585</v>
      </c>
      <c r="H7" s="114">
        <v>119957</v>
      </c>
      <c r="I7" s="114">
        <v>336251</v>
      </c>
      <c r="J7" s="114">
        <v>503019</v>
      </c>
      <c r="K7" s="114">
        <v>493777</v>
      </c>
      <c r="L7" s="114">
        <v>601530</v>
      </c>
    </row>
    <row r="8" spans="1:12">
      <c r="A8" s="115" t="s">
        <v>23</v>
      </c>
      <c r="B8" s="116" t="s">
        <v>409</v>
      </c>
      <c r="C8" s="114">
        <v>0</v>
      </c>
      <c r="D8" s="114">
        <v>0</v>
      </c>
      <c r="E8" s="114">
        <v>0</v>
      </c>
      <c r="F8" s="114">
        <v>0</v>
      </c>
      <c r="G8" s="114">
        <v>0</v>
      </c>
      <c r="H8" s="114">
        <v>0</v>
      </c>
      <c r="I8" s="114">
        <v>0</v>
      </c>
      <c r="J8" s="114">
        <v>0</v>
      </c>
      <c r="K8" s="114">
        <v>0</v>
      </c>
      <c r="L8" s="114">
        <v>0</v>
      </c>
    </row>
    <row r="9" spans="1:12">
      <c r="A9" s="115" t="s">
        <v>240</v>
      </c>
      <c r="B9" s="116" t="s">
        <v>410</v>
      </c>
      <c r="C9" s="114">
        <v>298953</v>
      </c>
      <c r="D9" s="114">
        <v>282010</v>
      </c>
      <c r="E9" s="114">
        <v>289205</v>
      </c>
      <c r="F9" s="114">
        <v>351296</v>
      </c>
      <c r="G9" s="114">
        <v>417084</v>
      </c>
      <c r="H9" s="114">
        <v>117998</v>
      </c>
      <c r="I9" s="114">
        <v>324976</v>
      </c>
      <c r="J9" s="114">
        <v>486433</v>
      </c>
      <c r="K9" s="114">
        <v>485051</v>
      </c>
      <c r="L9" s="114">
        <v>583227</v>
      </c>
    </row>
    <row r="10" spans="1:12">
      <c r="A10" s="115" t="s">
        <v>36</v>
      </c>
      <c r="B10" s="116" t="s">
        <v>411</v>
      </c>
      <c r="C10" s="114">
        <v>18596</v>
      </c>
      <c r="D10" s="114">
        <v>14375</v>
      </c>
      <c r="E10" s="114">
        <v>11324</v>
      </c>
      <c r="F10" s="114">
        <v>9561</v>
      </c>
      <c r="G10" s="114">
        <v>10501</v>
      </c>
      <c r="H10" s="114">
        <v>1959</v>
      </c>
      <c r="I10" s="114">
        <v>11275</v>
      </c>
      <c r="J10" s="114">
        <v>16586</v>
      </c>
      <c r="K10" s="114">
        <v>8726</v>
      </c>
      <c r="L10" s="114">
        <v>18303</v>
      </c>
    </row>
    <row r="11" spans="1:12">
      <c r="A11" s="115" t="s">
        <v>241</v>
      </c>
      <c r="B11" s="116" t="s">
        <v>412</v>
      </c>
      <c r="C11" s="114">
        <v>20274</v>
      </c>
      <c r="D11" s="114">
        <v>18708</v>
      </c>
      <c r="E11" s="114">
        <v>18760</v>
      </c>
      <c r="F11" s="114">
        <v>23621</v>
      </c>
      <c r="G11" s="114">
        <v>27147</v>
      </c>
      <c r="H11" s="114">
        <v>7780</v>
      </c>
      <c r="I11" s="114">
        <v>21444</v>
      </c>
      <c r="J11" s="114">
        <v>32512</v>
      </c>
      <c r="K11" s="114">
        <v>31869</v>
      </c>
      <c r="L11" s="114">
        <v>38429</v>
      </c>
    </row>
    <row r="12" spans="1:12">
      <c r="A12" s="115" t="s">
        <v>45</v>
      </c>
      <c r="B12" s="116" t="s">
        <v>413</v>
      </c>
      <c r="C12" s="114">
        <v>2835</v>
      </c>
      <c r="D12" s="114">
        <v>2771</v>
      </c>
      <c r="E12" s="114">
        <v>3026</v>
      </c>
      <c r="F12" s="114">
        <v>2791</v>
      </c>
      <c r="G12" s="114">
        <v>3231</v>
      </c>
      <c r="H12" s="114">
        <v>973</v>
      </c>
      <c r="I12" s="114">
        <v>2478</v>
      </c>
      <c r="J12" s="114">
        <v>3997</v>
      </c>
      <c r="K12" s="114">
        <v>3712</v>
      </c>
      <c r="L12" s="114">
        <v>4989</v>
      </c>
    </row>
    <row r="13" spans="1:12">
      <c r="A13" s="115" t="s">
        <v>242</v>
      </c>
      <c r="B13" s="116" t="s">
        <v>414</v>
      </c>
      <c r="C13" s="114">
        <v>863</v>
      </c>
      <c r="D13" s="114">
        <v>700</v>
      </c>
      <c r="E13" s="114">
        <v>800</v>
      </c>
      <c r="F13" s="114">
        <v>1063</v>
      </c>
      <c r="G13" s="114">
        <v>1362</v>
      </c>
      <c r="H13" s="114">
        <v>373</v>
      </c>
      <c r="I13" s="114">
        <v>1210</v>
      </c>
      <c r="J13" s="114">
        <v>2409</v>
      </c>
      <c r="K13" s="114">
        <v>1906</v>
      </c>
      <c r="L13" s="114">
        <v>2423</v>
      </c>
    </row>
    <row r="14" spans="1:12">
      <c r="A14" s="115" t="s">
        <v>243</v>
      </c>
      <c r="B14" s="116" t="s">
        <v>415</v>
      </c>
      <c r="C14" s="114">
        <v>1972</v>
      </c>
      <c r="D14" s="114">
        <v>2071</v>
      </c>
      <c r="E14" s="114">
        <v>2226</v>
      </c>
      <c r="F14" s="114">
        <v>1728</v>
      </c>
      <c r="G14" s="114">
        <v>1869</v>
      </c>
      <c r="H14" s="114">
        <v>600</v>
      </c>
      <c r="I14" s="114">
        <v>1268</v>
      </c>
      <c r="J14" s="114">
        <v>1588</v>
      </c>
      <c r="K14" s="114">
        <v>1806</v>
      </c>
      <c r="L14" s="114">
        <v>2566</v>
      </c>
    </row>
    <row r="15" spans="1:12">
      <c r="A15" s="115" t="s">
        <v>244</v>
      </c>
      <c r="B15" s="116" t="s">
        <v>416</v>
      </c>
      <c r="C15" s="114">
        <v>28</v>
      </c>
      <c r="D15" s="114">
        <v>42</v>
      </c>
      <c r="E15" s="114">
        <v>42</v>
      </c>
      <c r="F15" s="114">
        <v>39</v>
      </c>
      <c r="G15" s="114">
        <v>71</v>
      </c>
      <c r="H15" s="114">
        <v>0</v>
      </c>
      <c r="I15" s="114">
        <v>0</v>
      </c>
      <c r="J15" s="114">
        <v>28</v>
      </c>
      <c r="K15" s="114">
        <v>70</v>
      </c>
      <c r="L15" s="114">
        <v>85</v>
      </c>
    </row>
    <row r="16" spans="1:12">
      <c r="A16" s="115" t="s">
        <v>245</v>
      </c>
      <c r="B16" s="116" t="s">
        <v>417</v>
      </c>
      <c r="C16" s="114">
        <v>2807</v>
      </c>
      <c r="D16" s="114">
        <v>2729</v>
      </c>
      <c r="E16" s="114">
        <v>2984</v>
      </c>
      <c r="F16" s="114">
        <v>2752</v>
      </c>
      <c r="G16" s="114">
        <v>3160</v>
      </c>
      <c r="H16" s="114">
        <v>973</v>
      </c>
      <c r="I16" s="114">
        <v>2478</v>
      </c>
      <c r="J16" s="114">
        <v>3969</v>
      </c>
      <c r="K16" s="114">
        <v>3642</v>
      </c>
      <c r="L16" s="114">
        <v>4904</v>
      </c>
    </row>
    <row r="17" spans="1:12">
      <c r="A17" s="115" t="s">
        <v>246</v>
      </c>
      <c r="B17" s="116" t="s">
        <v>418</v>
      </c>
      <c r="C17" s="114">
        <v>2835</v>
      </c>
      <c r="D17" s="114">
        <v>2771</v>
      </c>
      <c r="E17" s="114">
        <v>3026</v>
      </c>
      <c r="F17" s="114">
        <v>2791</v>
      </c>
      <c r="G17" s="114">
        <v>3231</v>
      </c>
      <c r="H17" s="114">
        <v>973</v>
      </c>
      <c r="I17" s="114">
        <v>2478</v>
      </c>
      <c r="J17" s="114">
        <v>3997</v>
      </c>
      <c r="K17" s="114">
        <v>3712</v>
      </c>
      <c r="L17" s="114">
        <v>4989</v>
      </c>
    </row>
    <row r="18" spans="1:12">
      <c r="A18" s="115" t="s">
        <v>247</v>
      </c>
      <c r="B18" s="116" t="s">
        <v>419</v>
      </c>
      <c r="C18" s="114">
        <v>0</v>
      </c>
      <c r="D18" s="114">
        <v>0</v>
      </c>
      <c r="E18" s="114">
        <v>0</v>
      </c>
      <c r="F18" s="114">
        <v>0</v>
      </c>
      <c r="G18" s="114">
        <v>0</v>
      </c>
      <c r="H18" s="114">
        <v>0</v>
      </c>
      <c r="I18" s="114">
        <v>0</v>
      </c>
      <c r="J18" s="114">
        <v>0</v>
      </c>
      <c r="K18" s="114">
        <v>0</v>
      </c>
      <c r="L18" s="114">
        <v>0</v>
      </c>
    </row>
    <row r="19" spans="1:12">
      <c r="A19" s="115" t="s">
        <v>248</v>
      </c>
      <c r="B19" s="116" t="s">
        <v>420</v>
      </c>
      <c r="C19" s="114">
        <v>3905852.7</v>
      </c>
      <c r="D19" s="114">
        <v>3645535.5</v>
      </c>
      <c r="E19" s="114">
        <v>3696506.7</v>
      </c>
      <c r="F19" s="114">
        <v>4438541.0999999996</v>
      </c>
      <c r="G19" s="114">
        <v>5259295.5</v>
      </c>
      <c r="H19" s="114">
        <v>1475471.1</v>
      </c>
      <c r="I19" s="114">
        <v>4135887.3</v>
      </c>
      <c r="J19" s="114">
        <v>6187133.7000000002</v>
      </c>
      <c r="K19" s="114">
        <v>6073457.0999999996</v>
      </c>
      <c r="L19" s="114">
        <v>7398819</v>
      </c>
    </row>
    <row r="20" spans="1:12">
      <c r="A20" s="115" t="s">
        <v>249</v>
      </c>
      <c r="B20" s="116" t="s">
        <v>421</v>
      </c>
      <c r="C20" s="114">
        <v>403648000</v>
      </c>
      <c r="D20" s="114">
        <v>403546000</v>
      </c>
      <c r="E20" s="114">
        <v>411200000</v>
      </c>
      <c r="F20" s="114">
        <v>483434000</v>
      </c>
      <c r="G20" s="114">
        <v>600860000</v>
      </c>
      <c r="H20" s="114">
        <v>168698000</v>
      </c>
      <c r="I20" s="114">
        <v>417084000</v>
      </c>
      <c r="J20" s="114">
        <v>617834000</v>
      </c>
      <c r="K20" s="114">
        <v>626144000</v>
      </c>
      <c r="L20" s="114">
        <v>759028000</v>
      </c>
    </row>
    <row r="21" spans="1:12">
      <c r="A21" s="115" t="s">
        <v>250</v>
      </c>
      <c r="B21" s="116" t="s">
        <v>422</v>
      </c>
      <c r="C21" s="114">
        <v>8970000</v>
      </c>
      <c r="D21" s="114">
        <v>14168000</v>
      </c>
      <c r="E21" s="114">
        <v>14592000</v>
      </c>
      <c r="F21" s="114">
        <v>14886000</v>
      </c>
      <c r="G21" s="114">
        <v>27996000</v>
      </c>
      <c r="H21" s="114">
        <v>0</v>
      </c>
      <c r="I21" s="114">
        <v>0</v>
      </c>
      <c r="J21" s="114">
        <v>5134000</v>
      </c>
      <c r="K21" s="114">
        <v>18534000</v>
      </c>
      <c r="L21" s="114">
        <v>30826000</v>
      </c>
    </row>
    <row r="22" spans="1:12">
      <c r="A22" s="115" t="s">
        <v>251</v>
      </c>
      <c r="B22" s="116" t="s">
        <v>423</v>
      </c>
      <c r="C22" s="114">
        <v>394678000</v>
      </c>
      <c r="D22" s="114">
        <v>389378000</v>
      </c>
      <c r="E22" s="114">
        <v>396608000</v>
      </c>
      <c r="F22" s="114">
        <v>468548000</v>
      </c>
      <c r="G22" s="114">
        <v>572864000</v>
      </c>
      <c r="H22" s="114">
        <v>168698000</v>
      </c>
      <c r="I22" s="114">
        <v>417084000</v>
      </c>
      <c r="J22" s="114">
        <v>612700000</v>
      </c>
      <c r="K22" s="114">
        <v>607610000</v>
      </c>
      <c r="L22" s="114">
        <v>728202000</v>
      </c>
    </row>
    <row r="23" spans="1:12">
      <c r="A23" s="115" t="s">
        <v>252</v>
      </c>
      <c r="B23" s="116" t="s">
        <v>424</v>
      </c>
      <c r="C23" s="114">
        <v>24802400</v>
      </c>
      <c r="D23" s="114">
        <v>42680400</v>
      </c>
      <c r="E23" s="114">
        <v>41742000</v>
      </c>
      <c r="F23" s="114">
        <v>58870800</v>
      </c>
      <c r="G23" s="114">
        <v>61184200</v>
      </c>
      <c r="H23" s="114">
        <v>18475200</v>
      </c>
      <c r="I23" s="114">
        <v>39681400</v>
      </c>
      <c r="J23" s="114">
        <v>73509200</v>
      </c>
      <c r="K23" s="114">
        <v>91186200</v>
      </c>
      <c r="L23" s="114">
        <v>115280000</v>
      </c>
    </row>
    <row r="24" spans="1:12">
      <c r="A24" s="115" t="s">
        <v>253</v>
      </c>
      <c r="B24" s="116" t="s">
        <v>425</v>
      </c>
      <c r="C24" s="114">
        <v>660600</v>
      </c>
      <c r="D24" s="114">
        <v>1037600</v>
      </c>
      <c r="E24" s="114">
        <v>1145400</v>
      </c>
      <c r="F24" s="114">
        <v>1132200</v>
      </c>
      <c r="G24" s="114">
        <v>2389800</v>
      </c>
      <c r="H24" s="114">
        <v>0</v>
      </c>
      <c r="I24" s="114">
        <v>0</v>
      </c>
      <c r="J24" s="114">
        <v>1215400</v>
      </c>
      <c r="K24" s="114">
        <v>3930400</v>
      </c>
      <c r="L24" s="114">
        <v>4656000</v>
      </c>
    </row>
    <row r="25" spans="1:12">
      <c r="A25" s="115" t="s">
        <v>254</v>
      </c>
      <c r="B25" s="116" t="s">
        <v>426</v>
      </c>
      <c r="C25" s="114">
        <v>24141800</v>
      </c>
      <c r="D25" s="114">
        <v>41642800</v>
      </c>
      <c r="E25" s="114">
        <v>40596600</v>
      </c>
      <c r="F25" s="114">
        <v>57738600</v>
      </c>
      <c r="G25" s="114">
        <v>58794400</v>
      </c>
      <c r="H25" s="114">
        <v>18475200</v>
      </c>
      <c r="I25" s="114">
        <v>39681400</v>
      </c>
      <c r="J25" s="114">
        <v>72293800</v>
      </c>
      <c r="K25" s="114">
        <v>87255800</v>
      </c>
      <c r="L25" s="114">
        <v>110624000</v>
      </c>
    </row>
    <row r="26" spans="1:12">
      <c r="A26" s="115" t="s">
        <v>30</v>
      </c>
      <c r="B26" s="116" t="s">
        <v>427</v>
      </c>
      <c r="C26" s="114">
        <v>131.48747795414459</v>
      </c>
      <c r="D26" s="114">
        <v>130.6889209671599</v>
      </c>
      <c r="E26" s="114">
        <v>124.6120290812954</v>
      </c>
      <c r="F26" s="114">
        <v>161.60766750268721</v>
      </c>
      <c r="G26" s="114">
        <v>166.74373259052919</v>
      </c>
      <c r="H26" s="114">
        <v>164.56320657759511</v>
      </c>
      <c r="I26" s="114">
        <v>166.27481840193701</v>
      </c>
      <c r="J26" s="114">
        <v>152.1486114585939</v>
      </c>
      <c r="K26" s="114">
        <v>163.0382543103448</v>
      </c>
      <c r="L26" s="114">
        <v>158.01924233313289</v>
      </c>
    </row>
    <row r="27" spans="1:12">
      <c r="A27" s="115" t="s">
        <v>34</v>
      </c>
      <c r="B27" s="116" t="s">
        <v>428</v>
      </c>
      <c r="C27" s="114">
        <v>112.0102292768959</v>
      </c>
      <c r="D27" s="114">
        <v>106.9595813785637</v>
      </c>
      <c r="E27" s="114">
        <v>99.315598149372107</v>
      </c>
      <c r="F27" s="114">
        <v>129.29308491580079</v>
      </c>
      <c r="G27" s="114">
        <v>132.3382853605695</v>
      </c>
      <c r="H27" s="114">
        <v>123.28571428571431</v>
      </c>
      <c r="I27" s="114">
        <v>135.69451170298629</v>
      </c>
      <c r="J27" s="114">
        <v>125.8491368526395</v>
      </c>
      <c r="K27" s="114">
        <v>133.02182112068971</v>
      </c>
      <c r="L27" s="114">
        <v>120.5712567648827</v>
      </c>
    </row>
    <row r="28" spans="1:12">
      <c r="A28" s="115" t="s">
        <v>32</v>
      </c>
      <c r="B28" s="116" t="s">
        <v>429</v>
      </c>
      <c r="C28" s="114">
        <v>0.85186993483865259</v>
      </c>
      <c r="D28" s="114">
        <v>0.81842883533670774</v>
      </c>
      <c r="E28" s="114">
        <v>0.796998483064422</v>
      </c>
      <c r="F28" s="114">
        <v>0.80004301103876097</v>
      </c>
      <c r="G28" s="114">
        <v>0.793662726056104</v>
      </c>
      <c r="H28" s="114">
        <v>0.74916937297027231</v>
      </c>
      <c r="I28" s="114">
        <v>0.81608576095371932</v>
      </c>
      <c r="J28" s="114">
        <v>0.8271461411719051</v>
      </c>
      <c r="K28" s="114">
        <v>0.81589331094947437</v>
      </c>
      <c r="L28" s="114">
        <v>0.7630162946275677</v>
      </c>
    </row>
    <row r="29" spans="1:12">
      <c r="A29" s="115" t="s">
        <v>38</v>
      </c>
      <c r="B29" s="116" t="s">
        <v>430</v>
      </c>
      <c r="C29" s="114">
        <v>5.8561040973204137E-2</v>
      </c>
      <c r="D29" s="114">
        <v>4.8501104981696103E-2</v>
      </c>
      <c r="E29" s="114">
        <v>3.7680223871905873E-2</v>
      </c>
      <c r="F29" s="114">
        <v>2.649525989519394E-2</v>
      </c>
      <c r="G29" s="114">
        <v>2.455885964194254E-2</v>
      </c>
      <c r="H29" s="114">
        <v>1.6330851888593411E-2</v>
      </c>
      <c r="I29" s="114">
        <v>3.3531498791081672E-2</v>
      </c>
      <c r="J29" s="114">
        <v>3.2972909572004237E-2</v>
      </c>
      <c r="K29" s="114">
        <v>1.7671945027816199E-2</v>
      </c>
      <c r="L29" s="114">
        <v>3.04274101042342E-2</v>
      </c>
    </row>
    <row r="30" spans="1:12">
      <c r="A30" s="115" t="s">
        <v>255</v>
      </c>
      <c r="B30" s="116" t="s">
        <v>431</v>
      </c>
      <c r="C30" s="114">
        <v>6.5594356261022924</v>
      </c>
      <c r="D30" s="114">
        <v>5.1876578852399859</v>
      </c>
      <c r="E30" s="114">
        <v>3.742233972240582</v>
      </c>
      <c r="F30" s="114">
        <v>3.4256538874955211</v>
      </c>
      <c r="G30" s="114">
        <v>3.250077375425565</v>
      </c>
      <c r="H30" s="114">
        <v>2.0133607399794449</v>
      </c>
      <c r="I30" s="114">
        <v>4.550040355125101</v>
      </c>
      <c r="J30" s="114">
        <v>4.1496122091568672</v>
      </c>
      <c r="K30" s="114">
        <v>2.350754310344827</v>
      </c>
      <c r="L30" s="114">
        <v>3.668671076368009</v>
      </c>
    </row>
    <row r="31" spans="1:12">
      <c r="A31" s="115" t="s">
        <v>40</v>
      </c>
      <c r="B31" s="116" t="s">
        <v>432</v>
      </c>
      <c r="C31" s="114">
        <v>7.1513227513227511</v>
      </c>
      <c r="D31" s="114">
        <v>6.7513533020570193</v>
      </c>
      <c r="E31" s="114">
        <v>6.1996034368803699</v>
      </c>
      <c r="F31" s="114">
        <v>8.4632748118953778</v>
      </c>
      <c r="G31" s="114">
        <v>8.4020427112349125</v>
      </c>
      <c r="H31" s="114">
        <v>7.9958890030832466</v>
      </c>
      <c r="I31" s="114">
        <v>8.6537530266343818</v>
      </c>
      <c r="J31" s="114">
        <v>8.1341005754315745</v>
      </c>
      <c r="K31" s="114">
        <v>8.5853987068965516</v>
      </c>
      <c r="L31" s="114">
        <v>7.7027460412908404</v>
      </c>
    </row>
    <row r="32" spans="1:12">
      <c r="A32" s="115" t="s">
        <v>42</v>
      </c>
      <c r="B32" s="116" t="s">
        <v>433</v>
      </c>
      <c r="C32" s="114">
        <v>6.3845264825271059E-2</v>
      </c>
      <c r="D32" s="114">
        <v>6.3120603269396225E-2</v>
      </c>
      <c r="E32" s="114">
        <v>6.2423260317639888E-2</v>
      </c>
      <c r="F32" s="114">
        <v>6.5458062334941544E-2</v>
      </c>
      <c r="G32" s="114">
        <v>6.3489130816095043E-2</v>
      </c>
      <c r="H32" s="114">
        <v>6.4856573605541992E-2</v>
      </c>
      <c r="I32" s="114">
        <v>6.3773788033344145E-2</v>
      </c>
      <c r="J32" s="114">
        <v>6.4633741469010117E-2</v>
      </c>
      <c r="K32" s="114">
        <v>6.4541280780595289E-2</v>
      </c>
      <c r="L32" s="114">
        <v>6.3885425498312637E-2</v>
      </c>
    </row>
    <row r="33" spans="1:12">
      <c r="A33" s="115" t="s">
        <v>256</v>
      </c>
      <c r="B33" s="116" t="s">
        <v>434</v>
      </c>
      <c r="C33" s="114">
        <v>12.3</v>
      </c>
      <c r="D33" s="114">
        <v>12.3</v>
      </c>
      <c r="E33" s="114">
        <v>12.3</v>
      </c>
      <c r="F33" s="114">
        <v>12.3</v>
      </c>
      <c r="G33" s="114">
        <v>12.3</v>
      </c>
      <c r="H33" s="114">
        <v>12.3</v>
      </c>
      <c r="I33" s="114">
        <v>12.3</v>
      </c>
      <c r="J33" s="114">
        <v>12.3</v>
      </c>
      <c r="K33" s="114">
        <v>12.3</v>
      </c>
      <c r="L33" s="114">
        <v>12.3</v>
      </c>
    </row>
    <row r="34" spans="1:12">
      <c r="A34" s="115" t="s">
        <v>54</v>
      </c>
      <c r="B34" s="116" t="s">
        <v>435</v>
      </c>
      <c r="C34" s="114">
        <v>142380.24691358031</v>
      </c>
      <c r="D34" s="114">
        <v>145631.90184049081</v>
      </c>
      <c r="E34" s="114">
        <v>135888.96232650359</v>
      </c>
      <c r="F34" s="114">
        <v>173211.75206019351</v>
      </c>
      <c r="G34" s="114">
        <v>185967.1928195605</v>
      </c>
      <c r="H34" s="114">
        <v>173379.2394655704</v>
      </c>
      <c r="I34" s="114">
        <v>168314.76997578691</v>
      </c>
      <c r="J34" s="114">
        <v>154574.43082311729</v>
      </c>
      <c r="K34" s="114">
        <v>168681.03448275861</v>
      </c>
      <c r="L34" s="114">
        <v>152140.30867909401</v>
      </c>
    </row>
    <row r="35" spans="1:12">
      <c r="A35" s="115" t="s">
        <v>46</v>
      </c>
      <c r="B35" s="116" t="s">
        <v>436</v>
      </c>
      <c r="C35" s="114">
        <v>0</v>
      </c>
      <c r="D35" s="114">
        <v>0</v>
      </c>
      <c r="E35" s="114">
        <v>0</v>
      </c>
      <c r="F35" s="114">
        <v>0</v>
      </c>
      <c r="G35" s="114">
        <v>0</v>
      </c>
      <c r="H35" s="114">
        <v>0</v>
      </c>
      <c r="I35" s="114">
        <v>0</v>
      </c>
      <c r="J35" s="114">
        <v>0</v>
      </c>
      <c r="K35" s="114">
        <v>0</v>
      </c>
      <c r="L35" s="114">
        <v>0</v>
      </c>
    </row>
    <row r="36" spans="1:12">
      <c r="A36" s="115" t="s">
        <v>58</v>
      </c>
      <c r="B36" s="116" t="s">
        <v>437</v>
      </c>
      <c r="C36" s="114">
        <v>1272.197530864197</v>
      </c>
      <c r="D36" s="114">
        <v>1167.9195236376761</v>
      </c>
      <c r="E36" s="114">
        <v>1170.300066093853</v>
      </c>
      <c r="F36" s="114">
        <v>1385.0777499104261</v>
      </c>
      <c r="G36" s="114">
        <v>1459.570411637264</v>
      </c>
      <c r="H36" s="114">
        <v>1392.8180883864341</v>
      </c>
      <c r="I36" s="114">
        <v>1349.269975786925</v>
      </c>
      <c r="J36" s="114">
        <v>1572.201401050788</v>
      </c>
      <c r="K36" s="114">
        <v>1597.1330818965521</v>
      </c>
      <c r="L36" s="114">
        <v>1549.984365604329</v>
      </c>
    </row>
    <row r="37" spans="1:12">
      <c r="A37" s="115" t="s">
        <v>60</v>
      </c>
      <c r="B37" s="116" t="s">
        <v>438</v>
      </c>
      <c r="C37" s="114">
        <v>8748.6419753086411</v>
      </c>
      <c r="D37" s="114">
        <v>15402.52616383977</v>
      </c>
      <c r="E37" s="114">
        <v>13794.44811632518</v>
      </c>
      <c r="F37" s="114">
        <v>21093.084915800791</v>
      </c>
      <c r="G37" s="114">
        <v>18936.614051377281</v>
      </c>
      <c r="H37" s="114">
        <v>18987.87255909558</v>
      </c>
      <c r="I37" s="114">
        <v>16013.478611783699</v>
      </c>
      <c r="J37" s="114">
        <v>18391.093319989988</v>
      </c>
      <c r="K37" s="114">
        <v>24565.247844827591</v>
      </c>
      <c r="L37" s="114">
        <v>23106.835037081579</v>
      </c>
    </row>
    <row r="38" spans="1:12">
      <c r="A38" s="115" t="s">
        <v>47</v>
      </c>
      <c r="B38" s="116" t="s">
        <v>439</v>
      </c>
      <c r="C38" s="114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>
      <c r="A39" s="115" t="s">
        <v>48</v>
      </c>
      <c r="B39" s="116" t="s">
        <v>440</v>
      </c>
      <c r="C39" s="114"/>
      <c r="D39" s="114"/>
      <c r="E39" s="114"/>
      <c r="F39" s="114"/>
      <c r="G39" s="114"/>
      <c r="H39" s="114"/>
      <c r="I39" s="114"/>
      <c r="J39" s="114"/>
      <c r="K39" s="114"/>
      <c r="L39" s="114"/>
    </row>
    <row r="40" spans="1:12">
      <c r="A40" s="115" t="s">
        <v>49</v>
      </c>
      <c r="B40" s="116" t="s">
        <v>441</v>
      </c>
      <c r="C40" s="114"/>
      <c r="D40" s="114"/>
      <c r="E40" s="114"/>
      <c r="F40" s="114"/>
      <c r="G40" s="114"/>
      <c r="H40" s="114"/>
      <c r="I40" s="114"/>
      <c r="J40" s="114"/>
      <c r="K40" s="114"/>
      <c r="L40" s="114"/>
    </row>
    <row r="41" spans="1:12">
      <c r="A41" s="115" t="s">
        <v>50</v>
      </c>
      <c r="B41" s="116" t="s">
        <v>442</v>
      </c>
      <c r="C41" s="114"/>
      <c r="D41" s="114"/>
      <c r="E41" s="114"/>
      <c r="F41" s="114"/>
      <c r="G41" s="114"/>
      <c r="H41" s="114"/>
      <c r="I41" s="114"/>
      <c r="J41" s="114"/>
      <c r="K41" s="114"/>
      <c r="L41" s="114"/>
    </row>
    <row r="42" spans="1:12">
      <c r="A42" s="115" t="s">
        <v>257</v>
      </c>
      <c r="B42" s="116" t="s">
        <v>443</v>
      </c>
      <c r="C42" s="114"/>
      <c r="D42" s="114"/>
      <c r="E42" s="114"/>
      <c r="F42" s="114"/>
      <c r="G42" s="114"/>
      <c r="H42" s="114"/>
      <c r="I42" s="114"/>
      <c r="J42" s="114"/>
      <c r="K42" s="114"/>
      <c r="L42" s="114"/>
    </row>
    <row r="43" spans="1:12">
      <c r="A43" s="115" t="s">
        <v>51</v>
      </c>
      <c r="B43" s="116" t="s">
        <v>444</v>
      </c>
      <c r="C43" s="114"/>
      <c r="D43" s="114"/>
      <c r="E43" s="114"/>
      <c r="F43" s="114"/>
      <c r="G43" s="114"/>
      <c r="H43" s="114"/>
      <c r="I43" s="114"/>
      <c r="J43" s="114"/>
      <c r="K43" s="114"/>
      <c r="L43" s="114"/>
    </row>
    <row r="44" spans="1:12">
      <c r="A44" s="115" t="s">
        <v>52</v>
      </c>
      <c r="B44" s="116" t="s">
        <v>445</v>
      </c>
      <c r="C44" s="114"/>
      <c r="D44" s="114"/>
      <c r="E44" s="114"/>
      <c r="F44" s="114"/>
      <c r="G44" s="114"/>
      <c r="H44" s="114"/>
      <c r="I44" s="114"/>
      <c r="J44" s="114"/>
      <c r="K44" s="114"/>
      <c r="L44" s="114"/>
    </row>
    <row r="45" spans="1:12">
      <c r="A45" s="115" t="s">
        <v>258</v>
      </c>
      <c r="B45" s="116" t="s">
        <v>446</v>
      </c>
      <c r="C45" s="114">
        <v>2791</v>
      </c>
      <c r="D45" s="114">
        <v>2662</v>
      </c>
      <c r="E45" s="114">
        <v>2944</v>
      </c>
      <c r="F45" s="114">
        <v>2694</v>
      </c>
      <c r="G45" s="114">
        <v>3049</v>
      </c>
      <c r="H45" s="114">
        <v>960</v>
      </c>
      <c r="I45" s="114">
        <v>2421</v>
      </c>
      <c r="J45" s="114">
        <v>3927</v>
      </c>
      <c r="K45" s="114">
        <v>3594</v>
      </c>
      <c r="L45" s="114">
        <v>4879</v>
      </c>
    </row>
    <row r="46" spans="1:12">
      <c r="A46" s="115" t="s">
        <v>259</v>
      </c>
      <c r="B46" s="116" t="s">
        <v>447</v>
      </c>
      <c r="C46" s="114">
        <v>0.9844797178130511</v>
      </c>
      <c r="D46" s="114">
        <v>0.96066402020931074</v>
      </c>
      <c r="E46" s="114">
        <v>0.9729015201586253</v>
      </c>
      <c r="F46" s="114">
        <v>0.9652454317448943</v>
      </c>
      <c r="G46" s="114">
        <v>0.94367069018879601</v>
      </c>
      <c r="H46" s="114">
        <v>0.98663926002055502</v>
      </c>
      <c r="I46" s="114">
        <v>0.97699757869249393</v>
      </c>
      <c r="J46" s="114">
        <v>0.98248686514886163</v>
      </c>
      <c r="K46" s="114">
        <v>0.96821120689655171</v>
      </c>
      <c r="L46" s="114">
        <v>0.97795149328522746</v>
      </c>
    </row>
    <row r="47" spans="1:12">
      <c r="A47" s="115" t="s">
        <v>260</v>
      </c>
      <c r="B47" s="116" t="s">
        <v>448</v>
      </c>
      <c r="C47" s="114">
        <v>129.81798638480831</v>
      </c>
      <c r="D47" s="114">
        <v>125.8501126972201</v>
      </c>
      <c r="E47" s="114">
        <v>121.1345108695652</v>
      </c>
      <c r="F47" s="114">
        <v>158.29398663697111</v>
      </c>
      <c r="G47" s="114">
        <v>161.68711052804201</v>
      </c>
      <c r="H47" s="114">
        <v>163.43229166666671</v>
      </c>
      <c r="I47" s="114">
        <v>164.0351094589013</v>
      </c>
      <c r="J47" s="114">
        <v>150.2607588489941</v>
      </c>
      <c r="K47" s="114">
        <v>160.212020033389</v>
      </c>
      <c r="L47" s="114">
        <v>155.74564459930309</v>
      </c>
    </row>
    <row r="48" spans="1:12">
      <c r="A48" s="115" t="s">
        <v>261</v>
      </c>
      <c r="B48" s="116" t="s">
        <v>449</v>
      </c>
      <c r="C48" s="114">
        <v>110.7488355428162</v>
      </c>
      <c r="D48" s="114">
        <v>103.5736288504884</v>
      </c>
      <c r="E48" s="114">
        <v>96.965353260869563</v>
      </c>
      <c r="F48" s="114">
        <v>128.0463994060876</v>
      </c>
      <c r="G48" s="114">
        <v>130.5529681862906</v>
      </c>
      <c r="H48" s="114">
        <v>122.5</v>
      </c>
      <c r="I48" s="114">
        <v>134.48285832300701</v>
      </c>
      <c r="J48" s="114">
        <v>124.405653170359</v>
      </c>
      <c r="K48" s="114">
        <v>131.25848636616581</v>
      </c>
      <c r="L48" s="114">
        <v>119.3580651772904</v>
      </c>
    </row>
    <row r="49" spans="1:12">
      <c r="A49" s="115" t="s">
        <v>262</v>
      </c>
      <c r="B49" s="116" t="s">
        <v>450</v>
      </c>
      <c r="C49" s="114">
        <v>0.85310856089334897</v>
      </c>
      <c r="D49" s="114">
        <v>0.82299194359621863</v>
      </c>
      <c r="E49" s="114">
        <v>0.80047669788570464</v>
      </c>
      <c r="F49" s="114">
        <v>0.8089151213289435</v>
      </c>
      <c r="G49" s="114">
        <v>0.80744202651607355</v>
      </c>
      <c r="H49" s="114">
        <v>0.74954587462952926</v>
      </c>
      <c r="I49" s="114">
        <v>0.81984191534740603</v>
      </c>
      <c r="J49" s="114">
        <v>0.82793175093293381</v>
      </c>
      <c r="K49" s="114">
        <v>0.819279891351541</v>
      </c>
      <c r="L49" s="114">
        <v>0.76636534834968018</v>
      </c>
    </row>
    <row r="50" spans="1:12">
      <c r="A50" s="115" t="s">
        <v>263</v>
      </c>
      <c r="B50" s="116" t="s">
        <v>451</v>
      </c>
      <c r="C50" s="114">
        <v>5.7968295050145592E-2</v>
      </c>
      <c r="D50" s="114">
        <v>4.8445303630949572E-2</v>
      </c>
      <c r="E50" s="114">
        <v>3.761218498875523E-2</v>
      </c>
      <c r="F50" s="114">
        <v>2.673666572935177E-2</v>
      </c>
      <c r="G50" s="114">
        <v>2.4408625921980832E-2</v>
      </c>
      <c r="H50" s="114">
        <v>1.6190476190476189E-2</v>
      </c>
      <c r="I50" s="114">
        <v>3.077249119272198E-2</v>
      </c>
      <c r="J50" s="114">
        <v>3.2865204762752773E-2</v>
      </c>
      <c r="K50" s="114">
        <v>1.7530731775564239E-2</v>
      </c>
      <c r="L50" s="114">
        <v>3.0337530136619339E-2</v>
      </c>
    </row>
    <row r="51" spans="1:12">
      <c r="A51" s="115" t="s">
        <v>264</v>
      </c>
      <c r="B51" s="116" t="s">
        <v>452</v>
      </c>
      <c r="C51" s="114">
        <v>6.419921175206019</v>
      </c>
      <c r="D51" s="114">
        <v>5.0176558978211867</v>
      </c>
      <c r="E51" s="114">
        <v>3.6470788043478262</v>
      </c>
      <c r="F51" s="114">
        <v>3.4235337787676321</v>
      </c>
      <c r="G51" s="114">
        <v>3.1866185634634312</v>
      </c>
      <c r="H51" s="114">
        <v>1.9833333333333329</v>
      </c>
      <c r="I51" s="114">
        <v>4.1383725733168113</v>
      </c>
      <c r="J51" s="114">
        <v>4.0886172650878532</v>
      </c>
      <c r="K51" s="114">
        <v>2.301057317751809</v>
      </c>
      <c r="L51" s="114">
        <v>3.621028899364624</v>
      </c>
    </row>
    <row r="52" spans="1:12">
      <c r="A52" s="115" t="s">
        <v>265</v>
      </c>
      <c r="B52" s="116" t="s">
        <v>453</v>
      </c>
      <c r="C52" s="114">
        <v>7.0677176639197423</v>
      </c>
      <c r="D52" s="114">
        <v>6.5097670924117201</v>
      </c>
      <c r="E52" s="114">
        <v>6.0424592391304346</v>
      </c>
      <c r="F52" s="114">
        <v>8.3834446919079433</v>
      </c>
      <c r="G52" s="114">
        <v>8.2715644473597898</v>
      </c>
      <c r="H52" s="114">
        <v>7.9468750000000004</v>
      </c>
      <c r="I52" s="114">
        <v>8.565881866997108</v>
      </c>
      <c r="J52" s="114">
        <v>8.0407435701553354</v>
      </c>
      <c r="K52" s="114">
        <v>8.4752365052865883</v>
      </c>
      <c r="L52" s="114">
        <v>7.6179544988727201</v>
      </c>
    </row>
    <row r="53" spans="1:12">
      <c r="A53" s="115" t="s">
        <v>266</v>
      </c>
      <c r="B53" s="116" t="s">
        <v>454</v>
      </c>
      <c r="C53" s="114">
        <v>6.3817534778388876E-2</v>
      </c>
      <c r="D53" s="114">
        <v>6.2851588427096289E-2</v>
      </c>
      <c r="E53" s="114">
        <v>6.2315652301850308E-2</v>
      </c>
      <c r="F53" s="114">
        <v>6.5471928385277003E-2</v>
      </c>
      <c r="G53" s="114">
        <v>6.335791948871515E-2</v>
      </c>
      <c r="H53" s="114">
        <v>6.4872448979591837E-2</v>
      </c>
      <c r="I53" s="114">
        <v>6.3694971789067606E-2</v>
      </c>
      <c r="J53" s="114">
        <v>6.4633265171193416E-2</v>
      </c>
      <c r="K53" s="114">
        <v>6.4569055608668283E-2</v>
      </c>
      <c r="L53" s="114">
        <v>6.3824379924031685E-2</v>
      </c>
    </row>
    <row r="54" spans="1:12">
      <c r="A54" s="115" t="s">
        <v>267</v>
      </c>
      <c r="B54" s="116" t="s">
        <v>455</v>
      </c>
      <c r="C54" s="114">
        <v>12.3</v>
      </c>
      <c r="D54" s="114">
        <v>12.3</v>
      </c>
      <c r="E54" s="114">
        <v>12.3</v>
      </c>
      <c r="F54" s="114">
        <v>12.3</v>
      </c>
      <c r="G54" s="114">
        <v>12.3</v>
      </c>
      <c r="H54" s="114">
        <v>12.3</v>
      </c>
      <c r="I54" s="114">
        <v>12.3</v>
      </c>
      <c r="J54" s="114">
        <v>12.3</v>
      </c>
      <c r="K54" s="114">
        <v>12.3</v>
      </c>
      <c r="L54" s="114">
        <v>12.3</v>
      </c>
    </row>
    <row r="55" spans="1:12">
      <c r="A55" s="115" t="s">
        <v>268</v>
      </c>
      <c r="B55" s="116" t="s">
        <v>456</v>
      </c>
      <c r="C55" s="114">
        <v>138341.81297026161</v>
      </c>
      <c r="D55" s="114">
        <v>133238.1667918858</v>
      </c>
      <c r="E55" s="114">
        <v>127570.652173913</v>
      </c>
      <c r="F55" s="114">
        <v>164580.54936896809</v>
      </c>
      <c r="G55" s="114">
        <v>172663.82420465731</v>
      </c>
      <c r="H55" s="114">
        <v>170662.5</v>
      </c>
      <c r="I55" s="114">
        <v>163061.54481619169</v>
      </c>
      <c r="J55" s="114">
        <v>150595.8747135218</v>
      </c>
      <c r="K55" s="114">
        <v>160853.64496382861</v>
      </c>
      <c r="L55" s="114">
        <v>145342.07829473249</v>
      </c>
    </row>
    <row r="56" spans="1:12">
      <c r="A56" s="115" t="s">
        <v>269</v>
      </c>
      <c r="B56" s="116" t="s">
        <v>457</v>
      </c>
      <c r="C56" s="114">
        <v>0</v>
      </c>
      <c r="D56" s="114">
        <v>0</v>
      </c>
      <c r="E56" s="114">
        <v>0</v>
      </c>
      <c r="F56" s="114">
        <v>0</v>
      </c>
      <c r="G56" s="114">
        <v>0</v>
      </c>
      <c r="H56" s="114">
        <v>0</v>
      </c>
      <c r="I56" s="114">
        <v>0</v>
      </c>
      <c r="J56" s="114">
        <v>0</v>
      </c>
      <c r="K56" s="114">
        <v>0</v>
      </c>
      <c r="L56" s="114">
        <v>0</v>
      </c>
    </row>
    <row r="57" spans="1:12">
      <c r="A57" s="115" t="s">
        <v>270</v>
      </c>
      <c r="B57" s="116" t="s">
        <v>458</v>
      </c>
      <c r="C57" s="114">
        <v>1252.047653170906</v>
      </c>
      <c r="D57" s="114">
        <v>1148.1359879789629</v>
      </c>
      <c r="E57" s="114">
        <v>1147.608695652174</v>
      </c>
      <c r="F57" s="114">
        <v>1360.2342242019299</v>
      </c>
      <c r="G57" s="114">
        <v>1419.662184322729</v>
      </c>
      <c r="H57" s="114">
        <v>1385.8916666666671</v>
      </c>
      <c r="I57" s="114">
        <v>1331.3353985956221</v>
      </c>
      <c r="J57" s="114">
        <v>1582.3936847466259</v>
      </c>
      <c r="K57" s="114">
        <v>1610.4499165275461</v>
      </c>
      <c r="L57" s="114">
        <v>1531.1830293092851</v>
      </c>
    </row>
    <row r="58" spans="1:12">
      <c r="A58" s="115" t="s">
        <v>271</v>
      </c>
      <c r="B58" s="116" t="s">
        <v>459</v>
      </c>
      <c r="C58" s="114">
        <v>8118.3805087782157</v>
      </c>
      <c r="D58" s="114">
        <v>13890.30803906837</v>
      </c>
      <c r="E58" s="114">
        <v>12964.26630434783</v>
      </c>
      <c r="F58" s="114">
        <v>20750.705270972529</v>
      </c>
      <c r="G58" s="114">
        <v>18125.286979337488</v>
      </c>
      <c r="H58" s="114">
        <v>18901.041666666672</v>
      </c>
      <c r="I58" s="114">
        <v>15680.29739776952</v>
      </c>
      <c r="J58" s="114">
        <v>18238.14616755793</v>
      </c>
      <c r="K58" s="114">
        <v>24017.529215358929</v>
      </c>
      <c r="L58" s="114">
        <v>22280.26234884197</v>
      </c>
    </row>
    <row r="59" spans="1:12">
      <c r="A59" s="115" t="s">
        <v>272</v>
      </c>
      <c r="B59" s="116" t="s">
        <v>469</v>
      </c>
      <c r="C59" s="114">
        <v>44</v>
      </c>
      <c r="D59" s="114">
        <v>109</v>
      </c>
      <c r="E59" s="114">
        <v>82</v>
      </c>
      <c r="F59" s="114">
        <v>97</v>
      </c>
      <c r="G59" s="114">
        <v>182</v>
      </c>
      <c r="H59" s="114">
        <v>13</v>
      </c>
      <c r="I59" s="114">
        <v>57</v>
      </c>
      <c r="J59" s="114">
        <v>70</v>
      </c>
      <c r="K59" s="114">
        <v>116</v>
      </c>
      <c r="L59" s="114">
        <v>104</v>
      </c>
    </row>
    <row r="60" spans="1:12">
      <c r="A60" s="115" t="s">
        <v>273</v>
      </c>
      <c r="B60" s="116" t="s">
        <v>470</v>
      </c>
      <c r="C60" s="114">
        <v>1.552028218694885E-2</v>
      </c>
      <c r="D60" s="114">
        <v>3.9335979790689278E-2</v>
      </c>
      <c r="E60" s="114">
        <v>2.7098479841374749E-2</v>
      </c>
      <c r="F60" s="114">
        <v>3.47545682551057E-2</v>
      </c>
      <c r="G60" s="114">
        <v>5.6329309811203959E-2</v>
      </c>
      <c r="H60" s="114">
        <v>1.3360739979445009E-2</v>
      </c>
      <c r="I60" s="114">
        <v>2.300242130750605E-2</v>
      </c>
      <c r="J60" s="114">
        <v>1.751313485113835E-2</v>
      </c>
      <c r="K60" s="114">
        <v>3.125E-2</v>
      </c>
      <c r="L60" s="114">
        <v>2.0845860893966731E-2</v>
      </c>
    </row>
    <row r="61" spans="1:12">
      <c r="A61" s="115" t="s">
        <v>274</v>
      </c>
      <c r="B61" s="116" t="s">
        <v>471</v>
      </c>
      <c r="C61" s="114">
        <v>237.3863636363636</v>
      </c>
      <c r="D61" s="114">
        <v>248.8623853211009</v>
      </c>
      <c r="E61" s="114">
        <v>249.46341463414629</v>
      </c>
      <c r="F61" s="114">
        <v>253.63917525773189</v>
      </c>
      <c r="G61" s="114">
        <v>251.45604395604391</v>
      </c>
      <c r="H61" s="114">
        <v>248.07692307692309</v>
      </c>
      <c r="I61" s="114">
        <v>261.40350877192981</v>
      </c>
      <c r="J61" s="114">
        <v>258.05714285714288</v>
      </c>
      <c r="K61" s="114">
        <v>251.58620689655169</v>
      </c>
      <c r="L61" s="114">
        <v>267.68269230769232</v>
      </c>
    </row>
    <row r="62" spans="1:12">
      <c r="A62" s="115" t="s">
        <v>275</v>
      </c>
      <c r="B62" s="116" t="s">
        <v>472</v>
      </c>
      <c r="C62" s="114">
        <v>192.02272727272731</v>
      </c>
      <c r="D62" s="114">
        <v>189.651376146789</v>
      </c>
      <c r="E62" s="114">
        <v>183.69512195121951</v>
      </c>
      <c r="F62" s="114">
        <v>163.91752577319591</v>
      </c>
      <c r="G62" s="114">
        <v>162.2472527472527</v>
      </c>
      <c r="H62" s="114">
        <v>181.30769230769229</v>
      </c>
      <c r="I62" s="114">
        <v>187.15789473684211</v>
      </c>
      <c r="J62" s="114">
        <v>206.82857142857151</v>
      </c>
      <c r="K62" s="114">
        <v>188.85344827586209</v>
      </c>
      <c r="L62" s="114">
        <v>180.375</v>
      </c>
    </row>
    <row r="63" spans="1:12">
      <c r="A63" s="115" t="s">
        <v>276</v>
      </c>
      <c r="B63" s="116" t="s">
        <v>473</v>
      </c>
      <c r="C63" s="114">
        <v>0.80890378171373867</v>
      </c>
      <c r="D63" s="114">
        <v>0.7620732876207329</v>
      </c>
      <c r="E63" s="114">
        <v>0.73636096988658584</v>
      </c>
      <c r="F63" s="114">
        <v>0.64626265089623214</v>
      </c>
      <c r="G63" s="114">
        <v>0.64523107177974437</v>
      </c>
      <c r="H63" s="114">
        <v>0.73085271317829459</v>
      </c>
      <c r="I63" s="114">
        <v>0.71597315436241615</v>
      </c>
      <c r="J63" s="114">
        <v>0.80148361381753763</v>
      </c>
      <c r="K63" s="114">
        <v>0.75065104166666663</v>
      </c>
      <c r="L63" s="114">
        <v>0.67383885915442365</v>
      </c>
    </row>
    <row r="64" spans="1:12">
      <c r="A64" s="115" t="s">
        <v>277</v>
      </c>
      <c r="B64" s="116" t="s">
        <v>474</v>
      </c>
      <c r="C64" s="114">
        <v>8.0246182980234351E-2</v>
      </c>
      <c r="D64" s="114">
        <v>4.9245356037151702E-2</v>
      </c>
      <c r="E64" s="114">
        <v>3.8969660758149109E-2</v>
      </c>
      <c r="F64" s="114">
        <v>2.1257861635220129E-2</v>
      </c>
      <c r="G64" s="114">
        <v>2.6584036032374948E-2</v>
      </c>
      <c r="H64" s="114">
        <v>2.3334747560458211E-2</v>
      </c>
      <c r="I64" s="114">
        <v>0.1177352830896138</v>
      </c>
      <c r="J64" s="114">
        <v>3.6607266196988543E-2</v>
      </c>
      <c r="K64" s="114">
        <v>2.0815264527320031E-2</v>
      </c>
      <c r="L64" s="114">
        <v>3.3264033264033273E-2</v>
      </c>
    </row>
    <row r="65" spans="1:12">
      <c r="A65" s="115" t="s">
        <v>278</v>
      </c>
      <c r="B65" s="116" t="s">
        <v>475</v>
      </c>
      <c r="C65" s="114">
        <v>15.40909090909091</v>
      </c>
      <c r="D65" s="114">
        <v>9.3394495412844041</v>
      </c>
      <c r="E65" s="114">
        <v>7.1585365853658534</v>
      </c>
      <c r="F65" s="114">
        <v>3.4845360824742269</v>
      </c>
      <c r="G65" s="114">
        <v>4.313186813186813</v>
      </c>
      <c r="H65" s="114">
        <v>4.2307692307692308</v>
      </c>
      <c r="I65" s="114">
        <v>22.03508771929825</v>
      </c>
      <c r="J65" s="114">
        <v>7.5714285714285712</v>
      </c>
      <c r="K65" s="114">
        <v>3.931034482758621</v>
      </c>
      <c r="L65" s="114">
        <v>6</v>
      </c>
    </row>
    <row r="66" spans="1:12">
      <c r="A66" s="115" t="s">
        <v>279</v>
      </c>
      <c r="B66" s="116" t="s">
        <v>476</v>
      </c>
      <c r="C66" s="114">
        <v>12.45454545454546</v>
      </c>
      <c r="D66" s="114">
        <v>12.651376146788991</v>
      </c>
      <c r="E66" s="114">
        <v>11.84146341463415</v>
      </c>
      <c r="F66" s="114">
        <v>10.68041237113402</v>
      </c>
      <c r="G66" s="114">
        <v>10.587912087912089</v>
      </c>
      <c r="H66" s="114">
        <v>11.61538461538461</v>
      </c>
      <c r="I66" s="114">
        <v>12.3859649122807</v>
      </c>
      <c r="J66" s="114">
        <v>13.37142857142857</v>
      </c>
      <c r="K66" s="114">
        <v>12.07758620689655</v>
      </c>
      <c r="L66" s="114">
        <v>11.86538461538461</v>
      </c>
    </row>
    <row r="67" spans="1:12">
      <c r="A67" s="115" t="s">
        <v>280</v>
      </c>
      <c r="B67" s="116" t="s">
        <v>477</v>
      </c>
      <c r="C67" s="114">
        <v>6.4859746715587641E-2</v>
      </c>
      <c r="D67" s="114">
        <v>6.6708591331269343E-2</v>
      </c>
      <c r="E67" s="114">
        <v>6.4462590453428933E-2</v>
      </c>
      <c r="F67" s="114">
        <v>6.5157232704402518E-2</v>
      </c>
      <c r="G67" s="114">
        <v>6.525788208202106E-2</v>
      </c>
      <c r="H67" s="114">
        <v>6.4064488756894356E-2</v>
      </c>
      <c r="I67" s="114">
        <v>6.6179227596550427E-2</v>
      </c>
      <c r="J67" s="114">
        <v>6.4649813510153337E-2</v>
      </c>
      <c r="K67" s="114">
        <v>6.3952161409595101E-2</v>
      </c>
      <c r="L67" s="114">
        <v>6.5781758089450401E-2</v>
      </c>
    </row>
    <row r="68" spans="1:12">
      <c r="A68" s="115" t="s">
        <v>281</v>
      </c>
      <c r="B68" s="116" t="s">
        <v>478</v>
      </c>
      <c r="C68" s="114">
        <v>12.3</v>
      </c>
      <c r="D68" s="114">
        <v>12.3</v>
      </c>
      <c r="E68" s="114">
        <v>12.3</v>
      </c>
      <c r="F68" s="114">
        <v>12.3</v>
      </c>
      <c r="G68" s="114">
        <v>12.3</v>
      </c>
      <c r="H68" s="114">
        <v>12.3</v>
      </c>
      <c r="I68" s="114">
        <v>12.3</v>
      </c>
      <c r="J68" s="114">
        <v>12.3</v>
      </c>
      <c r="K68" s="114">
        <v>12.3</v>
      </c>
      <c r="L68" s="114">
        <v>12.3</v>
      </c>
    </row>
    <row r="69" spans="1:12">
      <c r="A69" s="115" t="s">
        <v>282</v>
      </c>
      <c r="B69" s="116" t="s">
        <v>479</v>
      </c>
      <c r="C69" s="114">
        <v>398545.45454545447</v>
      </c>
      <c r="D69" s="114">
        <v>448311.92660550459</v>
      </c>
      <c r="E69" s="114">
        <v>434536.58536585368</v>
      </c>
      <c r="F69" s="114">
        <v>412927.8350515464</v>
      </c>
      <c r="G69" s="114">
        <v>408835.16483516479</v>
      </c>
      <c r="H69" s="114">
        <v>374000</v>
      </c>
      <c r="I69" s="114">
        <v>391438.59649122809</v>
      </c>
      <c r="J69" s="114">
        <v>377771.42857142858</v>
      </c>
      <c r="K69" s="114">
        <v>412206.89655172412</v>
      </c>
      <c r="L69" s="114">
        <v>473500</v>
      </c>
    </row>
    <row r="70" spans="1:12">
      <c r="A70" s="115" t="s">
        <v>283</v>
      </c>
      <c r="B70" s="116" t="s">
        <v>480</v>
      </c>
      <c r="C70" s="114">
        <v>0</v>
      </c>
      <c r="D70" s="114">
        <v>0</v>
      </c>
      <c r="E70" s="114">
        <v>0</v>
      </c>
      <c r="F70" s="114">
        <v>0</v>
      </c>
      <c r="G70" s="114">
        <v>0</v>
      </c>
      <c r="H70" s="114">
        <v>0</v>
      </c>
      <c r="I70" s="114">
        <v>0</v>
      </c>
      <c r="J70" s="114">
        <v>0</v>
      </c>
      <c r="K70" s="114">
        <v>0</v>
      </c>
      <c r="L70" s="114">
        <v>0</v>
      </c>
    </row>
    <row r="71" spans="1:12">
      <c r="A71" s="115" t="s">
        <v>284</v>
      </c>
      <c r="B71" s="116" t="s">
        <v>481</v>
      </c>
      <c r="C71" s="114">
        <v>2550.340909090909</v>
      </c>
      <c r="D71" s="114">
        <v>1651.0733944954129</v>
      </c>
      <c r="E71" s="114">
        <v>1984.975609756098</v>
      </c>
      <c r="F71" s="114">
        <v>2075.0618556701029</v>
      </c>
      <c r="G71" s="114">
        <v>2128.1428571428569</v>
      </c>
      <c r="H71" s="114">
        <v>1904.3076923076919</v>
      </c>
      <c r="I71" s="114">
        <v>2111.0175438596489</v>
      </c>
      <c r="J71" s="114">
        <v>1000.4142857142861</v>
      </c>
      <c r="K71" s="114">
        <v>1196.6293103448279</v>
      </c>
      <c r="L71" s="114">
        <v>2469.75</v>
      </c>
    </row>
    <row r="72" spans="1:12">
      <c r="A72" s="115" t="s">
        <v>285</v>
      </c>
      <c r="B72" s="116" t="s">
        <v>482</v>
      </c>
      <c r="C72" s="114">
        <v>48727.272727272728</v>
      </c>
      <c r="D72" s="114">
        <v>52333.944954128441</v>
      </c>
      <c r="E72" s="114">
        <v>43600</v>
      </c>
      <c r="F72" s="114">
        <v>30602.061855670101</v>
      </c>
      <c r="G72" s="114">
        <v>32528.571428571431</v>
      </c>
      <c r="H72" s="114">
        <v>25400</v>
      </c>
      <c r="I72" s="114">
        <v>30164.912280701759</v>
      </c>
      <c r="J72" s="114">
        <v>26971.428571428569</v>
      </c>
      <c r="K72" s="114">
        <v>41896.551724137928</v>
      </c>
      <c r="L72" s="114">
        <v>62971.153846153837</v>
      </c>
    </row>
    <row r="73" spans="1:12">
      <c r="A73" s="115" t="s">
        <v>286</v>
      </c>
      <c r="B73" s="116" t="s">
        <v>460</v>
      </c>
      <c r="C73" s="114" t="s">
        <v>394</v>
      </c>
      <c r="D73" s="114" t="s">
        <v>394</v>
      </c>
      <c r="E73" s="114" t="s">
        <v>394</v>
      </c>
      <c r="F73" s="114" t="s">
        <v>394</v>
      </c>
      <c r="G73" s="114" t="s">
        <v>394</v>
      </c>
      <c r="H73" s="114" t="s">
        <v>394</v>
      </c>
      <c r="I73" s="114" t="s">
        <v>394</v>
      </c>
      <c r="J73" s="114" t="s">
        <v>394</v>
      </c>
      <c r="K73" s="114" t="s">
        <v>394</v>
      </c>
      <c r="L73" s="114" t="s">
        <v>394</v>
      </c>
    </row>
    <row r="74" spans="1:12">
      <c r="A74" s="115" t="s">
        <v>287</v>
      </c>
      <c r="B74" s="116" t="s">
        <v>461</v>
      </c>
      <c r="C74" s="114" t="s">
        <v>395</v>
      </c>
      <c r="D74" s="114" t="s">
        <v>395</v>
      </c>
      <c r="E74" s="114" t="s">
        <v>395</v>
      </c>
      <c r="F74" s="114" t="s">
        <v>395</v>
      </c>
      <c r="G74" s="114" t="s">
        <v>395</v>
      </c>
      <c r="H74" s="114" t="s">
        <v>395</v>
      </c>
      <c r="I74" s="114" t="s">
        <v>395</v>
      </c>
      <c r="J74" s="114" t="s">
        <v>395</v>
      </c>
      <c r="K74" s="114" t="s">
        <v>395</v>
      </c>
      <c r="L74" s="114" t="s">
        <v>395</v>
      </c>
    </row>
    <row r="75" spans="1:12">
      <c r="A75" s="115" t="s">
        <v>79</v>
      </c>
      <c r="B75" s="116" t="s">
        <v>462</v>
      </c>
      <c r="C75" s="114">
        <v>4</v>
      </c>
      <c r="D75" s="114">
        <v>4.7</v>
      </c>
      <c r="E75" s="114">
        <v>4.7</v>
      </c>
      <c r="F75" s="114">
        <v>5.7666666666666666</v>
      </c>
      <c r="G75" s="114">
        <v>4.1749999999999998</v>
      </c>
      <c r="H75" s="114">
        <v>0</v>
      </c>
      <c r="I75" s="114">
        <v>6.1749999999999998</v>
      </c>
      <c r="J75" s="114">
        <v>6.2866666666666671</v>
      </c>
      <c r="K75" s="114">
        <v>6.1333333333333337</v>
      </c>
      <c r="L75" s="114">
        <v>6.8333333333333339</v>
      </c>
    </row>
    <row r="76" spans="1:12">
      <c r="A76" s="115" t="s">
        <v>81</v>
      </c>
      <c r="B76" s="116" t="s">
        <v>463</v>
      </c>
      <c r="C76" s="114">
        <v>320.25</v>
      </c>
      <c r="D76" s="114">
        <v>327.28346456692913</v>
      </c>
      <c r="E76" s="114">
        <v>318.25172413793098</v>
      </c>
      <c r="F76" s="114">
        <v>297.64160839160837</v>
      </c>
      <c r="G76" s="114">
        <v>292.85438335809812</v>
      </c>
      <c r="H76" s="114">
        <v>0</v>
      </c>
      <c r="I76" s="114">
        <v>231.12844036697251</v>
      </c>
      <c r="J76" s="114">
        <v>327.53194444444438</v>
      </c>
      <c r="K76" s="114">
        <v>321.87972027972017</v>
      </c>
      <c r="L76" s="114">
        <v>297.77788649706463</v>
      </c>
    </row>
    <row r="77" spans="1:12">
      <c r="A77" s="115" t="s">
        <v>76</v>
      </c>
      <c r="B77" s="116" t="s">
        <v>464</v>
      </c>
      <c r="C77" s="114">
        <v>7.8064012490241998E-4</v>
      </c>
      <c r="D77" s="114">
        <v>6.5009687467207215E-4</v>
      </c>
      <c r="E77" s="114">
        <v>6.6854612657053585E-4</v>
      </c>
      <c r="F77" s="114">
        <v>5.8261479489158188E-4</v>
      </c>
      <c r="G77" s="114">
        <v>8.178841488978146E-4</v>
      </c>
      <c r="H77" s="114">
        <v>0</v>
      </c>
      <c r="I77" s="114">
        <v>7.0066375034129238E-4</v>
      </c>
      <c r="J77" s="114">
        <v>4.856528065657597E-4</v>
      </c>
      <c r="K77" s="114">
        <v>5.0653541676742278E-4</v>
      </c>
      <c r="L77" s="114">
        <v>4.9144503353198705E-4</v>
      </c>
    </row>
    <row r="78" spans="1:12">
      <c r="A78" s="115" t="s">
        <v>87</v>
      </c>
      <c r="B78" s="116" t="s">
        <v>465</v>
      </c>
      <c r="C78" s="114">
        <v>2.2131147540983611</v>
      </c>
      <c r="D78" s="114">
        <v>1.801418439716312</v>
      </c>
      <c r="E78" s="114">
        <v>2.0230205790024409</v>
      </c>
      <c r="F78" s="114">
        <v>1.6260778925424051</v>
      </c>
      <c r="G78" s="114">
        <v>2.6425836850888391</v>
      </c>
      <c r="H78" s="114">
        <v>0</v>
      </c>
      <c r="I78" s="114">
        <v>1.736244773345722</v>
      </c>
      <c r="J78" s="114">
        <v>1.941154267843342</v>
      </c>
      <c r="K78" s="114">
        <v>1.8802594670406729</v>
      </c>
      <c r="L78" s="114">
        <v>2.451819272291083</v>
      </c>
    </row>
    <row r="79" spans="1:12">
      <c r="A79" s="115" t="s">
        <v>164</v>
      </c>
      <c r="B79" s="116" t="s">
        <v>466</v>
      </c>
      <c r="C79" s="114">
        <v>7.0546737213403885E-4</v>
      </c>
      <c r="D79" s="114">
        <v>7.217610970768675E-4</v>
      </c>
      <c r="E79" s="114">
        <v>6.6093853271645734E-4</v>
      </c>
      <c r="F79" s="114">
        <v>7.1658903618774627E-4</v>
      </c>
      <c r="G79" s="114">
        <v>6.1900340451872485E-4</v>
      </c>
      <c r="H79" s="114">
        <v>1.0277492291880779E-3</v>
      </c>
      <c r="I79" s="114">
        <v>8.0710250201775622E-4</v>
      </c>
      <c r="J79" s="114">
        <v>5.0037528146109581E-4</v>
      </c>
      <c r="K79" s="114">
        <v>5.3879310344827585E-4</v>
      </c>
      <c r="L79" s="114">
        <v>5.9177810230125324E-4</v>
      </c>
    </row>
    <row r="80" spans="1:12">
      <c r="A80" s="115" t="s">
        <v>168</v>
      </c>
      <c r="B80" s="116" t="s">
        <v>467</v>
      </c>
      <c r="C80" s="114">
        <v>2</v>
      </c>
      <c r="D80" s="114">
        <v>2</v>
      </c>
      <c r="E80" s="114">
        <v>2</v>
      </c>
      <c r="F80" s="114">
        <v>2</v>
      </c>
      <c r="G80" s="114">
        <v>2</v>
      </c>
      <c r="H80" s="114">
        <v>1</v>
      </c>
      <c r="I80" s="114">
        <v>2</v>
      </c>
      <c r="J80" s="114">
        <v>2</v>
      </c>
      <c r="K80" s="114">
        <v>2</v>
      </c>
      <c r="L80" s="114">
        <v>2.952380952380953</v>
      </c>
    </row>
    <row r="81" spans="1:12">
      <c r="A81" s="115" t="s">
        <v>288</v>
      </c>
      <c r="B81" s="116" t="s">
        <v>468</v>
      </c>
      <c r="C81" s="114">
        <v>11</v>
      </c>
      <c r="D81" s="114">
        <v>431</v>
      </c>
      <c r="E81" s="114">
        <v>54</v>
      </c>
      <c r="F81" s="114">
        <v>331</v>
      </c>
      <c r="G81" s="114">
        <v>50</v>
      </c>
      <c r="H81" s="114">
        <v>0</v>
      </c>
      <c r="I81" s="114">
        <v>364</v>
      </c>
      <c r="J81" s="114">
        <v>616</v>
      </c>
      <c r="K81" s="114">
        <v>577</v>
      </c>
      <c r="L81" s="114">
        <v>159</v>
      </c>
    </row>
    <row r="82" spans="1:12">
      <c r="A82" s="115" t="s">
        <v>289</v>
      </c>
      <c r="B82" s="116" t="s">
        <v>483</v>
      </c>
      <c r="C82" s="114">
        <v>3.2333333333333329</v>
      </c>
      <c r="D82" s="114">
        <v>4</v>
      </c>
      <c r="E82" s="114">
        <v>3.05</v>
      </c>
      <c r="F82" s="114">
        <v>3.5</v>
      </c>
      <c r="G82" s="114">
        <v>2.933333333333334</v>
      </c>
      <c r="H82" s="114">
        <v>0</v>
      </c>
      <c r="I82" s="114">
        <v>4.75</v>
      </c>
      <c r="J82" s="114">
        <v>4.1333333333333337</v>
      </c>
      <c r="K82" s="114">
        <v>5.6</v>
      </c>
      <c r="L82" s="114">
        <v>5.0666666666666673</v>
      </c>
    </row>
    <row r="83" spans="1:12">
      <c r="A83" s="115" t="s">
        <v>290</v>
      </c>
      <c r="B83" s="116" t="s">
        <v>484</v>
      </c>
      <c r="C83" s="114">
        <v>320.5888888888889</v>
      </c>
      <c r="D83" s="114">
        <v>326.11764705882348</v>
      </c>
      <c r="E83" s="114">
        <v>316.73883161512032</v>
      </c>
      <c r="F83" s="114">
        <v>300.25795053003532</v>
      </c>
      <c r="G83" s="114">
        <v>292.04424778761057</v>
      </c>
      <c r="H83" s="114">
        <v>0</v>
      </c>
      <c r="I83" s="114">
        <v>232.6687306501548</v>
      </c>
      <c r="J83" s="114">
        <v>329.63764044943821</v>
      </c>
      <c r="K83" s="114">
        <v>321.63636363636363</v>
      </c>
      <c r="L83" s="114">
        <v>299.22485207100601</v>
      </c>
    </row>
    <row r="84" spans="1:12">
      <c r="A84" s="115" t="s">
        <v>291</v>
      </c>
      <c r="B84" s="116" t="s">
        <v>485</v>
      </c>
      <c r="C84" s="114">
        <v>9.6471949351511978E-4</v>
      </c>
      <c r="D84" s="114">
        <v>7.6659451659451662E-4</v>
      </c>
      <c r="E84" s="114">
        <v>1.0351394263442271E-3</v>
      </c>
      <c r="F84" s="114">
        <v>9.5156276531536922E-4</v>
      </c>
      <c r="G84" s="114">
        <v>1.1673199985675359E-3</v>
      </c>
      <c r="H84" s="114">
        <v>0</v>
      </c>
      <c r="I84" s="114">
        <v>9.048328720459868E-4</v>
      </c>
      <c r="J84" s="114">
        <v>7.3394374362437912E-4</v>
      </c>
      <c r="K84" s="114">
        <v>5.5519664055560041E-4</v>
      </c>
      <c r="L84" s="114">
        <v>6.5959902623929142E-4</v>
      </c>
    </row>
    <row r="85" spans="1:12">
      <c r="A85" s="115" t="s">
        <v>89</v>
      </c>
      <c r="B85" s="116" t="s">
        <v>486</v>
      </c>
      <c r="C85" s="114">
        <v>1.3689369612979549</v>
      </c>
      <c r="D85" s="114">
        <v>1.0625</v>
      </c>
      <c r="E85" s="114">
        <v>1.564095673206128</v>
      </c>
      <c r="F85" s="114">
        <v>1.3255269320843091</v>
      </c>
      <c r="G85" s="114">
        <v>1.8945603576751111</v>
      </c>
      <c r="H85" s="114">
        <v>0</v>
      </c>
      <c r="I85" s="114">
        <v>1.1147540983606561</v>
      </c>
      <c r="J85" s="114">
        <v>1.4598141060688901</v>
      </c>
      <c r="K85" s="114">
        <v>1.030444964871194</v>
      </c>
      <c r="L85" s="114">
        <v>1.6404227782571179</v>
      </c>
    </row>
    <row r="86" spans="1:12">
      <c r="A86" s="115" t="s">
        <v>292</v>
      </c>
      <c r="B86" s="116" t="s">
        <v>487</v>
      </c>
      <c r="C86" s="114">
        <v>7.0472163495419312E-4</v>
      </c>
      <c r="D86" s="114">
        <v>7.215007215007215E-4</v>
      </c>
      <c r="E86" s="114">
        <v>6.6181336863004633E-4</v>
      </c>
      <c r="F86" s="114">
        <v>7.1787508973438624E-4</v>
      </c>
      <c r="G86" s="114">
        <v>6.1614294516327791E-4</v>
      </c>
      <c r="H86" s="114">
        <v>2.2222222222222218E-3</v>
      </c>
      <c r="I86" s="114">
        <v>8.1168831168831174E-4</v>
      </c>
      <c r="J86" s="114">
        <v>8.1400081400081396E-4</v>
      </c>
      <c r="K86" s="114">
        <v>5.3879310344827585E-4</v>
      </c>
      <c r="L86" s="114">
        <v>8.0418174507438679E-4</v>
      </c>
    </row>
    <row r="87" spans="1:12">
      <c r="A87" s="115" t="s">
        <v>170</v>
      </c>
      <c r="B87" s="116" t="s">
        <v>488</v>
      </c>
      <c r="C87" s="114">
        <v>1</v>
      </c>
      <c r="D87" s="114">
        <v>1</v>
      </c>
      <c r="E87" s="114">
        <v>1</v>
      </c>
      <c r="F87" s="114">
        <v>1</v>
      </c>
      <c r="G87" s="114">
        <v>1</v>
      </c>
      <c r="H87" s="114">
        <v>1</v>
      </c>
      <c r="I87" s="114">
        <v>1</v>
      </c>
      <c r="J87" s="114">
        <v>1.6190476190476191</v>
      </c>
      <c r="K87" s="114">
        <v>1</v>
      </c>
      <c r="L87" s="114">
        <v>2</v>
      </c>
    </row>
    <row r="88" spans="1:12">
      <c r="A88" s="115" t="s">
        <v>293</v>
      </c>
      <c r="B88" s="116" t="s">
        <v>489</v>
      </c>
      <c r="C88" s="114">
        <v>106</v>
      </c>
      <c r="D88" s="114">
        <v>66</v>
      </c>
      <c r="E88" s="114">
        <v>208</v>
      </c>
      <c r="F88" s="114">
        <v>118</v>
      </c>
      <c r="G88" s="114">
        <v>230</v>
      </c>
      <c r="H88" s="114">
        <v>0</v>
      </c>
      <c r="I88" s="114">
        <v>143</v>
      </c>
      <c r="J88" s="114">
        <v>301</v>
      </c>
      <c r="K88" s="114">
        <v>246</v>
      </c>
      <c r="L88" s="114">
        <v>483</v>
      </c>
    </row>
    <row r="89" spans="1:12">
      <c r="A89" s="115" t="s">
        <v>294</v>
      </c>
      <c r="B89" s="116" t="s">
        <v>490</v>
      </c>
      <c r="C89" s="114">
        <v>2.85</v>
      </c>
      <c r="D89" s="114">
        <v>3.9</v>
      </c>
      <c r="E89" s="114">
        <v>3.7</v>
      </c>
      <c r="F89" s="114">
        <v>5.4</v>
      </c>
      <c r="G89" s="114">
        <v>3.4666666666666668</v>
      </c>
      <c r="H89" s="114">
        <v>0</v>
      </c>
      <c r="I89" s="114">
        <v>3.2166666666666659</v>
      </c>
      <c r="J89" s="114">
        <v>4.5666666666666673</v>
      </c>
      <c r="K89" s="114">
        <v>4</v>
      </c>
      <c r="L89" s="114">
        <v>5.0333333333333332</v>
      </c>
    </row>
    <row r="90" spans="1:12">
      <c r="A90" s="115" t="s">
        <v>295</v>
      </c>
      <c r="B90" s="116" t="s">
        <v>491</v>
      </c>
      <c r="C90" s="114">
        <v>319.9111111111111</v>
      </c>
      <c r="D90" s="114">
        <v>328.45849802371538</v>
      </c>
      <c r="E90" s="114">
        <v>319.77508650519042</v>
      </c>
      <c r="F90" s="114">
        <v>295.07958477508652</v>
      </c>
      <c r="G90" s="114">
        <v>293.67664670658678</v>
      </c>
      <c r="H90" s="114">
        <v>0</v>
      </c>
      <c r="I90" s="114">
        <v>229.62537764350449</v>
      </c>
      <c r="J90" s="114">
        <v>325.47252747252747</v>
      </c>
      <c r="K90" s="114">
        <v>321.43016759776538</v>
      </c>
      <c r="L90" s="114">
        <v>296.35339805825242</v>
      </c>
    </row>
    <row r="91" spans="1:12">
      <c r="A91" s="115" t="s">
        <v>296</v>
      </c>
      <c r="B91" s="116" t="s">
        <v>492</v>
      </c>
      <c r="C91" s="114">
        <v>1.0967958935961741E-3</v>
      </c>
      <c r="D91" s="114">
        <v>7.8064735104446301E-4</v>
      </c>
      <c r="E91" s="114">
        <v>8.4518863937789413E-4</v>
      </c>
      <c r="F91" s="114">
        <v>6.275770834039086E-4</v>
      </c>
      <c r="G91" s="114">
        <v>9.8224200560877812E-4</v>
      </c>
      <c r="H91" s="114">
        <v>0</v>
      </c>
      <c r="I91" s="114">
        <v>1.353860937348961E-3</v>
      </c>
      <c r="J91" s="114">
        <v>6.7280057057431521E-4</v>
      </c>
      <c r="K91" s="114">
        <v>7.7777391546162398E-4</v>
      </c>
      <c r="L91" s="114">
        <v>6.7040060276173812E-4</v>
      </c>
    </row>
    <row r="92" spans="1:12">
      <c r="A92" s="115" t="s">
        <v>91</v>
      </c>
      <c r="B92" s="116" t="s">
        <v>493</v>
      </c>
      <c r="C92" s="114">
        <v>1.5530629853321829</v>
      </c>
      <c r="D92" s="114">
        <v>1.0811965811965809</v>
      </c>
      <c r="E92" s="114">
        <v>1.2804607886575099</v>
      </c>
      <c r="F92" s="114">
        <v>0.87735276259866424</v>
      </c>
      <c r="G92" s="114">
        <v>1.5794451450189151</v>
      </c>
      <c r="H92" s="114">
        <v>0</v>
      </c>
      <c r="I92" s="114">
        <v>1.686910727936805</v>
      </c>
      <c r="J92" s="114">
        <v>1.3509835457132251</v>
      </c>
      <c r="K92" s="114">
        <v>1.443548387096774</v>
      </c>
      <c r="L92" s="114">
        <v>1.6773423081098691</v>
      </c>
    </row>
    <row r="93" spans="1:12">
      <c r="A93" s="115" t="s">
        <v>297</v>
      </c>
      <c r="B93" s="116" t="s">
        <v>494</v>
      </c>
      <c r="C93" s="114">
        <v>7.0621468926553672E-4</v>
      </c>
      <c r="D93" s="114">
        <v>7.2202166064981946E-4</v>
      </c>
      <c r="E93" s="114">
        <v>6.6006600660066007E-4</v>
      </c>
      <c r="F93" s="114">
        <v>7.1530758226037196E-4</v>
      </c>
      <c r="G93" s="114">
        <v>6.2189054726368158E-4</v>
      </c>
      <c r="H93" s="114">
        <v>1.9120458891013379E-3</v>
      </c>
      <c r="I93" s="114">
        <v>8.0256821829855537E-4</v>
      </c>
      <c r="J93" s="114">
        <v>7.351546196167711E-4</v>
      </c>
      <c r="K93" s="114">
        <v>5.3879310344827585E-4</v>
      </c>
      <c r="L93" s="114">
        <v>7.993605115907274E-4</v>
      </c>
    </row>
    <row r="94" spans="1:12">
      <c r="A94" s="115" t="s">
        <v>172</v>
      </c>
      <c r="B94" s="116" t="s">
        <v>495</v>
      </c>
      <c r="C94" s="114">
        <v>1</v>
      </c>
      <c r="D94" s="114">
        <v>1</v>
      </c>
      <c r="E94" s="114">
        <v>1</v>
      </c>
      <c r="F94" s="114">
        <v>1</v>
      </c>
      <c r="G94" s="114">
        <v>1</v>
      </c>
      <c r="H94" s="114">
        <v>1</v>
      </c>
      <c r="I94" s="114">
        <v>1</v>
      </c>
      <c r="J94" s="114">
        <v>1.4761904761904761</v>
      </c>
      <c r="K94" s="114">
        <v>1</v>
      </c>
      <c r="L94" s="114">
        <v>2</v>
      </c>
    </row>
    <row r="95" spans="1:12">
      <c r="A95" s="115" t="s">
        <v>298</v>
      </c>
      <c r="B95" s="116" t="s">
        <v>496</v>
      </c>
      <c r="C95" s="114">
        <v>106</v>
      </c>
      <c r="D95" s="114">
        <v>66</v>
      </c>
      <c r="E95" s="114">
        <v>208</v>
      </c>
      <c r="F95" s="114">
        <v>2665</v>
      </c>
      <c r="G95" s="114">
        <v>230</v>
      </c>
      <c r="H95" s="114">
        <v>0</v>
      </c>
      <c r="I95" s="114">
        <v>143</v>
      </c>
      <c r="J95" s="114">
        <v>301</v>
      </c>
      <c r="K95" s="114">
        <v>246</v>
      </c>
      <c r="L95" s="114">
        <v>483</v>
      </c>
    </row>
    <row r="96" spans="1:12">
      <c r="A96" s="115" t="s">
        <v>97</v>
      </c>
      <c r="B96" s="116" t="s">
        <v>497</v>
      </c>
      <c r="C96" s="114">
        <v>4.0320083200573249</v>
      </c>
      <c r="D96" s="114">
        <v>4.0340253162659403</v>
      </c>
      <c r="E96" s="114">
        <v>3.9576948118440241</v>
      </c>
      <c r="F96" s="114">
        <v>5.1145108011808897</v>
      </c>
      <c r="G96" s="114">
        <v>4.0511902567800506</v>
      </c>
      <c r="H96" s="114">
        <v>0</v>
      </c>
      <c r="I96" s="114">
        <v>5.3649116041052629</v>
      </c>
      <c r="J96" s="114">
        <v>6.2373864683482312</v>
      </c>
      <c r="K96" s="114">
        <v>5.2596695246645933</v>
      </c>
      <c r="L96" s="114">
        <v>6.4933327039305064</v>
      </c>
    </row>
    <row r="97" spans="1:12">
      <c r="A97" s="115" t="s">
        <v>99</v>
      </c>
      <c r="B97" s="116" t="s">
        <v>498</v>
      </c>
      <c r="C97" s="114">
        <v>317.70003772285179</v>
      </c>
      <c r="D97" s="114">
        <v>295.17044619679677</v>
      </c>
      <c r="E97" s="114">
        <v>299.98312906023472</v>
      </c>
      <c r="F97" s="114">
        <v>299.22621119025609</v>
      </c>
      <c r="G97" s="114">
        <v>302.88301476925261</v>
      </c>
      <c r="H97" s="114">
        <v>0</v>
      </c>
      <c r="I97" s="114">
        <v>225.361874416305</v>
      </c>
      <c r="J97" s="114">
        <v>300.65058300325182</v>
      </c>
      <c r="K97" s="114">
        <v>325.89720091319259</v>
      </c>
      <c r="L97" s="114">
        <v>291.36258605493231</v>
      </c>
    </row>
    <row r="98" spans="1:12">
      <c r="A98" s="115" t="s">
        <v>95</v>
      </c>
      <c r="B98" s="116" t="s">
        <v>499</v>
      </c>
      <c r="C98" s="114">
        <v>7.8065889765797111E-4</v>
      </c>
      <c r="D98" s="114">
        <v>8.3982443960550106E-4</v>
      </c>
      <c r="E98" s="114">
        <v>8.4228849298483629E-4</v>
      </c>
      <c r="F98" s="114">
        <v>6.5342578204015628E-4</v>
      </c>
      <c r="G98" s="114">
        <v>8.1497153672988856E-4</v>
      </c>
      <c r="H98" s="114">
        <v>0</v>
      </c>
      <c r="I98" s="114">
        <v>8.2709802385893508E-4</v>
      </c>
      <c r="J98" s="114">
        <v>5.3325544159959874E-4</v>
      </c>
      <c r="K98" s="114">
        <v>5.8339259480445077E-4</v>
      </c>
      <c r="L98" s="114">
        <v>5.2856519359304583E-4</v>
      </c>
    </row>
    <row r="99" spans="1:12">
      <c r="A99" s="115" t="s">
        <v>103</v>
      </c>
      <c r="B99" s="116" t="s">
        <v>500</v>
      </c>
      <c r="C99" s="114">
        <v>247.89745229239111</v>
      </c>
      <c r="D99" s="114">
        <v>248.91136653247639</v>
      </c>
      <c r="E99" s="114">
        <v>253.1321185082399</v>
      </c>
      <c r="F99" s="114">
        <v>235.7932674296647</v>
      </c>
      <c r="G99" s="114">
        <v>348.46960453264938</v>
      </c>
      <c r="H99" s="114">
        <v>0</v>
      </c>
      <c r="I99" s="114">
        <v>278.11253762059079</v>
      </c>
      <c r="J99" s="114">
        <v>268.23761897798857</v>
      </c>
      <c r="K99" s="114">
        <v>288.0658452847573</v>
      </c>
      <c r="L99" s="114">
        <v>317.94782090202477</v>
      </c>
    </row>
    <row r="100" spans="1:12">
      <c r="A100" s="115" t="s">
        <v>176</v>
      </c>
      <c r="B100" s="116" t="s">
        <v>501</v>
      </c>
      <c r="C100" s="114">
        <v>7.7468359213853609E-4</v>
      </c>
      <c r="D100" s="114">
        <v>7.9626161917775869E-4</v>
      </c>
      <c r="E100" s="114">
        <v>7.8528195282318849E-4</v>
      </c>
      <c r="F100" s="114">
        <v>7.3568252930160838E-4</v>
      </c>
      <c r="G100" s="114">
        <v>7.0640368358950627E-4</v>
      </c>
      <c r="H100" s="114">
        <v>1.425510808039547E-3</v>
      </c>
      <c r="I100" s="114">
        <v>7.8328674823555143E-4</v>
      </c>
      <c r="J100" s="114">
        <v>6.0984158602737622E-4</v>
      </c>
      <c r="K100" s="114">
        <v>6.6349596603132097E-4</v>
      </c>
      <c r="L100" s="114">
        <v>5.898451013407873E-4</v>
      </c>
    </row>
    <row r="101" spans="1:12">
      <c r="A101" s="115" t="s">
        <v>179</v>
      </c>
      <c r="B101" s="116" t="s">
        <v>502</v>
      </c>
      <c r="C101" s="114">
        <v>246</v>
      </c>
      <c r="D101" s="114">
        <v>236</v>
      </c>
      <c r="E101" s="114">
        <v>236</v>
      </c>
      <c r="F101" s="114">
        <v>265.47619047619048</v>
      </c>
      <c r="G101" s="114">
        <v>302.04761904761898</v>
      </c>
      <c r="H101" s="114">
        <v>171</v>
      </c>
      <c r="I101" s="114">
        <v>263.38095238095241</v>
      </c>
      <c r="J101" s="114">
        <v>306.76190476190482</v>
      </c>
      <c r="K101" s="114">
        <v>327.61904761904759</v>
      </c>
      <c r="L101" s="114">
        <v>354.8095238095238</v>
      </c>
    </row>
    <row r="102" spans="1:12">
      <c r="A102" s="115" t="s">
        <v>299</v>
      </c>
      <c r="B102" s="116" t="s">
        <v>503</v>
      </c>
      <c r="C102" s="114">
        <v>94</v>
      </c>
      <c r="D102" s="114">
        <v>78</v>
      </c>
      <c r="E102" s="114">
        <v>87</v>
      </c>
      <c r="F102" s="114">
        <v>207</v>
      </c>
      <c r="G102" s="114">
        <v>36</v>
      </c>
      <c r="H102" s="114">
        <v>0</v>
      </c>
      <c r="I102" s="114">
        <v>126</v>
      </c>
      <c r="J102" s="114">
        <v>243</v>
      </c>
      <c r="K102" s="114">
        <v>293</v>
      </c>
      <c r="L102" s="114">
        <v>174</v>
      </c>
    </row>
    <row r="103" spans="1:12">
      <c r="A103" s="115" t="s">
        <v>300</v>
      </c>
      <c r="B103" s="116" t="s">
        <v>504</v>
      </c>
      <c r="C103" s="114">
        <v>3.456292892993071</v>
      </c>
      <c r="D103" s="114">
        <v>2.657383734756817</v>
      </c>
      <c r="E103" s="114">
        <v>2.4938300782032798</v>
      </c>
      <c r="F103" s="114">
        <v>3.666506782555528</v>
      </c>
      <c r="G103" s="114">
        <v>2.8073059882247309</v>
      </c>
      <c r="H103" s="114">
        <v>0</v>
      </c>
      <c r="I103" s="114">
        <v>3.939109006838724</v>
      </c>
      <c r="J103" s="114">
        <v>4.1887091754002537</v>
      </c>
      <c r="K103" s="114">
        <v>4.9417232427213609</v>
      </c>
      <c r="L103" s="114">
        <v>4.9106143949035204</v>
      </c>
    </row>
    <row r="104" spans="1:12">
      <c r="A104" s="115" t="s">
        <v>301</v>
      </c>
      <c r="B104" s="116" t="s">
        <v>505</v>
      </c>
      <c r="C104" s="114">
        <v>320.12942437005842</v>
      </c>
      <c r="D104" s="114">
        <v>296.28897025855628</v>
      </c>
      <c r="E104" s="114">
        <v>297.33865053171979</v>
      </c>
      <c r="F104" s="114">
        <v>301.17515953019512</v>
      </c>
      <c r="G104" s="114">
        <v>298.90585713151421</v>
      </c>
      <c r="H104" s="114">
        <v>0</v>
      </c>
      <c r="I104" s="114">
        <v>228.2944693572496</v>
      </c>
      <c r="J104" s="114">
        <v>303.19188767550702</v>
      </c>
      <c r="K104" s="114">
        <v>325.45391573019708</v>
      </c>
      <c r="L104" s="114">
        <v>289.18140507652822</v>
      </c>
    </row>
    <row r="105" spans="1:12">
      <c r="A105" s="115" t="s">
        <v>302</v>
      </c>
      <c r="B105" s="116" t="s">
        <v>506</v>
      </c>
      <c r="C105" s="114">
        <v>9.037823754613004E-4</v>
      </c>
      <c r="D105" s="114">
        <v>1.2700775601461379E-3</v>
      </c>
      <c r="E105" s="114">
        <v>1.3485957145024539E-3</v>
      </c>
      <c r="F105" s="114">
        <v>9.0558320240591284E-4</v>
      </c>
      <c r="G105" s="114">
        <v>1.1917243761417719E-3</v>
      </c>
      <c r="H105" s="114">
        <v>0</v>
      </c>
      <c r="I105" s="114">
        <v>1.1120046680757789E-3</v>
      </c>
      <c r="J105" s="114">
        <v>7.8741233704751265E-4</v>
      </c>
      <c r="K105" s="114">
        <v>6.2177331523104282E-4</v>
      </c>
      <c r="L105" s="114">
        <v>7.0419640542157005E-4</v>
      </c>
    </row>
    <row r="106" spans="1:12">
      <c r="A106" s="115" t="s">
        <v>105</v>
      </c>
      <c r="B106" s="116" t="s">
        <v>507</v>
      </c>
      <c r="C106" s="114">
        <v>128.37595995764951</v>
      </c>
      <c r="D106" s="114">
        <v>165.10754266387769</v>
      </c>
      <c r="E106" s="114">
        <v>179.26208535023869</v>
      </c>
      <c r="F106" s="114">
        <v>145.0391112805334</v>
      </c>
      <c r="G106" s="114">
        <v>224.31351242366119</v>
      </c>
      <c r="H106" s="114">
        <v>0</v>
      </c>
      <c r="I106" s="114">
        <v>169.83536095054561</v>
      </c>
      <c r="J106" s="114">
        <v>171.18659172347739</v>
      </c>
      <c r="K106" s="114">
        <v>133.13534580390129</v>
      </c>
      <c r="L106" s="114">
        <v>175.5815149421926</v>
      </c>
    </row>
    <row r="107" spans="1:12">
      <c r="A107" s="115" t="s">
        <v>303</v>
      </c>
      <c r="B107" s="116" t="s">
        <v>508</v>
      </c>
      <c r="C107" s="114">
        <v>1.178717511095734E-3</v>
      </c>
      <c r="D107" s="114">
        <v>1.0714450551986511E-3</v>
      </c>
      <c r="E107" s="114">
        <v>1.17359413202934E-3</v>
      </c>
      <c r="F107" s="114">
        <v>1.085217523676324E-3</v>
      </c>
      <c r="G107" s="114">
        <v>9.530083643117974E-4</v>
      </c>
      <c r="H107" s="114">
        <v>2.386226597446139E-3</v>
      </c>
      <c r="I107" s="114">
        <v>1.1046643775202199E-3</v>
      </c>
      <c r="J107" s="114">
        <v>8.2795164762377877E-4</v>
      </c>
      <c r="K107" s="114">
        <v>7.4745994828938193E-4</v>
      </c>
      <c r="L107" s="114">
        <v>8.678287627175874E-4</v>
      </c>
    </row>
    <row r="108" spans="1:12">
      <c r="A108" s="115" t="s">
        <v>181</v>
      </c>
      <c r="B108" s="116" t="s">
        <v>509</v>
      </c>
      <c r="C108" s="114">
        <v>167.42857142857139</v>
      </c>
      <c r="D108" s="114">
        <v>139.28571428571431</v>
      </c>
      <c r="E108" s="114">
        <v>156</v>
      </c>
      <c r="F108" s="114">
        <v>173.8095238095238</v>
      </c>
      <c r="G108" s="114">
        <v>179.38095238095241</v>
      </c>
      <c r="H108" s="114">
        <v>119.5714285714286</v>
      </c>
      <c r="I108" s="114">
        <v>168.71428571428569</v>
      </c>
      <c r="J108" s="114">
        <v>180</v>
      </c>
      <c r="K108" s="114">
        <v>160.04761904761901</v>
      </c>
      <c r="L108" s="114">
        <v>216.38095238095241</v>
      </c>
    </row>
    <row r="109" spans="1:12">
      <c r="A109" s="115" t="s">
        <v>304</v>
      </c>
      <c r="B109" s="116" t="s">
        <v>510</v>
      </c>
      <c r="C109" s="114">
        <v>1414</v>
      </c>
      <c r="D109" s="114">
        <v>293</v>
      </c>
      <c r="E109" s="114">
        <v>316</v>
      </c>
      <c r="F109" s="114">
        <v>605</v>
      </c>
      <c r="G109" s="114">
        <v>191</v>
      </c>
      <c r="H109" s="114">
        <v>0</v>
      </c>
      <c r="I109" s="114">
        <v>357</v>
      </c>
      <c r="J109" s="114">
        <v>639</v>
      </c>
      <c r="K109" s="114">
        <v>2125</v>
      </c>
      <c r="L109" s="114">
        <v>753</v>
      </c>
    </row>
    <row r="110" spans="1:12">
      <c r="A110" s="115" t="s">
        <v>305</v>
      </c>
      <c r="B110" s="116" t="s">
        <v>511</v>
      </c>
      <c r="C110" s="114">
        <v>3.2657531771953301</v>
      </c>
      <c r="D110" s="114">
        <v>2.172400648718122</v>
      </c>
      <c r="E110" s="114">
        <v>3.4631790096203998</v>
      </c>
      <c r="F110" s="114">
        <v>4.9035442998597132</v>
      </c>
      <c r="G110" s="114">
        <v>3.8762860709316258</v>
      </c>
      <c r="H110" s="114">
        <v>0</v>
      </c>
      <c r="I110" s="114">
        <v>2.7326823183334432</v>
      </c>
      <c r="J110" s="114">
        <v>4.3918865800365294</v>
      </c>
      <c r="K110" s="114">
        <v>3.9300212621058042</v>
      </c>
      <c r="L110" s="114">
        <v>4.5566874852099923</v>
      </c>
    </row>
    <row r="111" spans="1:12">
      <c r="A111" s="115" t="s">
        <v>306</v>
      </c>
      <c r="B111" s="116" t="s">
        <v>512</v>
      </c>
      <c r="C111" s="114">
        <v>315.76068426485767</v>
      </c>
      <c r="D111" s="114">
        <v>294.30240380433202</v>
      </c>
      <c r="E111" s="114">
        <v>302.11412192311099</v>
      </c>
      <c r="F111" s="114">
        <v>297.68889969604862</v>
      </c>
      <c r="G111" s="114">
        <v>306.08567774936063</v>
      </c>
      <c r="H111" s="114">
        <v>0</v>
      </c>
      <c r="I111" s="114">
        <v>222.97816993984779</v>
      </c>
      <c r="J111" s="114">
        <v>298.74457070930907</v>
      </c>
      <c r="K111" s="114">
        <v>326.23742589405242</v>
      </c>
      <c r="L111" s="114">
        <v>292.92675411087782</v>
      </c>
    </row>
    <row r="112" spans="1:12">
      <c r="A112" s="115" t="s">
        <v>307</v>
      </c>
      <c r="B112" s="116" t="s">
        <v>513</v>
      </c>
      <c r="C112" s="114">
        <v>9.6974731862856816E-4</v>
      </c>
      <c r="D112" s="114">
        <v>1.5641063055421491E-3</v>
      </c>
      <c r="E112" s="114">
        <v>9.5577140529558334E-4</v>
      </c>
      <c r="F112" s="114">
        <v>6.8505786378465154E-4</v>
      </c>
      <c r="G112" s="114">
        <v>8.4283229975960793E-4</v>
      </c>
      <c r="H112" s="114">
        <v>0</v>
      </c>
      <c r="I112" s="114">
        <v>1.6411508670809911E-3</v>
      </c>
      <c r="J112" s="114">
        <v>7.6216475679784994E-4</v>
      </c>
      <c r="K112" s="114">
        <v>7.7995818191696487E-4</v>
      </c>
      <c r="L112" s="114">
        <v>7.4918955976963032E-4</v>
      </c>
    </row>
    <row r="113" spans="1:12">
      <c r="A113" s="115" t="s">
        <v>107</v>
      </c>
      <c r="B113" s="116" t="s">
        <v>514</v>
      </c>
      <c r="C113" s="114">
        <v>170.1964729032255</v>
      </c>
      <c r="D113" s="114">
        <v>260.24695586024148</v>
      </c>
      <c r="E113" s="114">
        <v>160.19111061316099</v>
      </c>
      <c r="F113" s="114">
        <v>137.48837303012439</v>
      </c>
      <c r="G113" s="114">
        <v>201.73949643815999</v>
      </c>
      <c r="H113" s="114">
        <v>0</v>
      </c>
      <c r="I113" s="114">
        <v>301.18728942843768</v>
      </c>
      <c r="J113" s="114">
        <v>217.68568701281791</v>
      </c>
      <c r="K113" s="114">
        <v>218.11920536398881</v>
      </c>
      <c r="L113" s="114">
        <v>263.86006781350522</v>
      </c>
    </row>
    <row r="114" spans="1:12">
      <c r="A114" s="115" t="s">
        <v>308</v>
      </c>
      <c r="B114" s="116" t="s">
        <v>515</v>
      </c>
      <c r="C114" s="114">
        <v>1.0711884493977411E-3</v>
      </c>
      <c r="D114" s="114">
        <v>1.1187343791453489E-3</v>
      </c>
      <c r="E114" s="114">
        <v>1.121691606405575E-3</v>
      </c>
      <c r="F114" s="114">
        <v>9.3674014429784346E-4</v>
      </c>
      <c r="G114" s="114">
        <v>8.7316541262288027E-4</v>
      </c>
      <c r="H114" s="114">
        <v>2.065028279093105E-3</v>
      </c>
      <c r="I114" s="114">
        <v>9.6290518692192608E-4</v>
      </c>
      <c r="J114" s="114">
        <v>8.2311936731347475E-4</v>
      </c>
      <c r="K114" s="114">
        <v>7.9894359631893378E-4</v>
      </c>
      <c r="L114" s="114">
        <v>8.3192785794192973E-4</v>
      </c>
    </row>
    <row r="115" spans="1:12">
      <c r="A115" s="115" t="s">
        <v>183</v>
      </c>
      <c r="B115" s="116" t="s">
        <v>516</v>
      </c>
      <c r="C115" s="114">
        <v>188</v>
      </c>
      <c r="D115" s="114">
        <v>186.14285714285711</v>
      </c>
      <c r="E115" s="114">
        <v>188</v>
      </c>
      <c r="F115" s="114">
        <v>188</v>
      </c>
      <c r="G115" s="114">
        <v>209</v>
      </c>
      <c r="H115" s="114">
        <v>144.23809523809521</v>
      </c>
      <c r="I115" s="114">
        <v>176.71428571428569</v>
      </c>
      <c r="J115" s="114">
        <v>235.0952380952381</v>
      </c>
      <c r="K115" s="114">
        <v>223.42857142857139</v>
      </c>
      <c r="L115" s="114">
        <v>293</v>
      </c>
    </row>
    <row r="116" spans="1:12">
      <c r="A116" s="115" t="s">
        <v>309</v>
      </c>
      <c r="B116" s="116" t="s">
        <v>517</v>
      </c>
      <c r="C116" s="114">
        <v>317</v>
      </c>
      <c r="D116" s="114">
        <v>39</v>
      </c>
      <c r="E116" s="114">
        <v>333</v>
      </c>
      <c r="F116" s="114">
        <v>832</v>
      </c>
      <c r="G116" s="114">
        <v>279</v>
      </c>
      <c r="H116" s="114">
        <v>0</v>
      </c>
      <c r="I116" s="114">
        <v>32</v>
      </c>
      <c r="J116" s="114">
        <v>257</v>
      </c>
      <c r="K116" s="114">
        <v>234</v>
      </c>
      <c r="L116" s="114">
        <v>241</v>
      </c>
    </row>
    <row r="117" spans="1:12">
      <c r="A117" s="115" t="s">
        <v>310</v>
      </c>
      <c r="B117" s="116" t="s">
        <v>518</v>
      </c>
      <c r="C117" s="114">
        <v>4.3550319155671344</v>
      </c>
      <c r="D117" s="114">
        <v>4.06699515406308</v>
      </c>
      <c r="E117" s="114">
        <v>3.948817878939042</v>
      </c>
      <c r="F117" s="114">
        <v>5.1260912450842087</v>
      </c>
      <c r="G117" s="114">
        <v>4.069829990472857</v>
      </c>
      <c r="H117" s="114">
        <v>0</v>
      </c>
      <c r="I117" s="114">
        <v>5.3128981249102427</v>
      </c>
      <c r="J117" s="114">
        <v>6.7212666540092147</v>
      </c>
      <c r="K117" s="114">
        <v>5.2716660150919044</v>
      </c>
      <c r="L117" s="114">
        <v>6.4901179812037739</v>
      </c>
    </row>
    <row r="118" spans="1:12">
      <c r="A118" s="115" t="s">
        <v>311</v>
      </c>
      <c r="B118" s="116" t="s">
        <v>519</v>
      </c>
      <c r="C118" s="114">
        <v>319.00313123185111</v>
      </c>
      <c r="D118" s="114">
        <v>295.60288684594889</v>
      </c>
      <c r="E118" s="114">
        <v>300.05621321903601</v>
      </c>
      <c r="F118" s="114">
        <v>299.20073721394562</v>
      </c>
      <c r="G118" s="114">
        <v>304.13747842784568</v>
      </c>
      <c r="H118" s="114">
        <v>0</v>
      </c>
      <c r="I118" s="114">
        <v>226.26249529179461</v>
      </c>
      <c r="J118" s="114">
        <v>301.41833744683089</v>
      </c>
      <c r="K118" s="114">
        <v>326.34905806053121</v>
      </c>
      <c r="L118" s="114">
        <v>291.94373143391709</v>
      </c>
    </row>
    <row r="119" spans="1:12">
      <c r="A119" s="115" t="s">
        <v>312</v>
      </c>
      <c r="B119" s="116" t="s">
        <v>520</v>
      </c>
      <c r="C119" s="114">
        <v>7.1980309877647602E-4</v>
      </c>
      <c r="D119" s="114">
        <v>8.3179762120145324E-4</v>
      </c>
      <c r="E119" s="114">
        <v>8.439763395516499E-4</v>
      </c>
      <c r="F119" s="114">
        <v>6.5200512328024592E-4</v>
      </c>
      <c r="G119" s="114">
        <v>8.0789289974412648E-4</v>
      </c>
      <c r="H119" s="114">
        <v>0</v>
      </c>
      <c r="I119" s="114">
        <v>8.3187091329820721E-4</v>
      </c>
      <c r="J119" s="114">
        <v>4.9360460687909616E-4</v>
      </c>
      <c r="K119" s="114">
        <v>5.8125907790646534E-4</v>
      </c>
      <c r="L119" s="114">
        <v>5.2777431855869478E-4</v>
      </c>
    </row>
    <row r="120" spans="1:12">
      <c r="A120" s="115" t="s">
        <v>114</v>
      </c>
      <c r="B120" s="116" t="s">
        <v>521</v>
      </c>
      <c r="C120" s="114">
        <v>215.18729578852381</v>
      </c>
      <c r="D120" s="114">
        <v>234.5752471550218</v>
      </c>
      <c r="E120" s="114">
        <v>244.0821772800349</v>
      </c>
      <c r="F120" s="114">
        <v>229.0467917878573</v>
      </c>
      <c r="G120" s="114">
        <v>336.95920219687918</v>
      </c>
      <c r="H120" s="114">
        <v>0</v>
      </c>
      <c r="I120" s="114">
        <v>270.33808191999822</v>
      </c>
      <c r="J120" s="114">
        <v>240.1055697380194</v>
      </c>
      <c r="K120" s="114">
        <v>281.94029699760893</v>
      </c>
      <c r="L120" s="114">
        <v>307.81223249003187</v>
      </c>
    </row>
    <row r="121" spans="1:12">
      <c r="A121" s="115" t="s">
        <v>313</v>
      </c>
      <c r="B121" s="116" t="s">
        <v>522</v>
      </c>
      <c r="C121" s="114">
        <v>7.8607674115998172E-4</v>
      </c>
      <c r="D121" s="114">
        <v>8.0848196872451337E-4</v>
      </c>
      <c r="E121" s="114">
        <v>7.8145260282498576E-4</v>
      </c>
      <c r="F121" s="114">
        <v>7.3726999453452356E-4</v>
      </c>
      <c r="G121" s="114">
        <v>7.0432312139018704E-4</v>
      </c>
      <c r="H121" s="114">
        <v>1.415278225054662E-3</v>
      </c>
      <c r="I121" s="114">
        <v>7.606422510907766E-4</v>
      </c>
      <c r="J121" s="114">
        <v>6.1223133259775508E-4</v>
      </c>
      <c r="K121" s="114">
        <v>6.6080434742699123E-4</v>
      </c>
      <c r="L121" s="114">
        <v>5.8835214615039625E-4</v>
      </c>
    </row>
    <row r="122" spans="1:12">
      <c r="A122" s="115" t="s">
        <v>189</v>
      </c>
      <c r="B122" s="116" t="s">
        <v>523</v>
      </c>
      <c r="C122" s="114">
        <v>235</v>
      </c>
      <c r="D122" s="114">
        <v>228</v>
      </c>
      <c r="E122" s="114">
        <v>226</v>
      </c>
      <c r="F122" s="114">
        <v>259</v>
      </c>
      <c r="G122" s="114">
        <v>293.76190476190482</v>
      </c>
      <c r="H122" s="114">
        <v>167</v>
      </c>
      <c r="I122" s="114">
        <v>247.1904761904762</v>
      </c>
      <c r="J122" s="114">
        <v>297.8095238095238</v>
      </c>
      <c r="K122" s="114">
        <v>320.52380952380952</v>
      </c>
      <c r="L122" s="114">
        <v>343.14285714285722</v>
      </c>
    </row>
    <row r="123" spans="1:12">
      <c r="A123" s="115" t="s">
        <v>314</v>
      </c>
      <c r="B123" s="116" t="s">
        <v>524</v>
      </c>
      <c r="C123" s="114">
        <v>240</v>
      </c>
      <c r="D123" s="114">
        <v>78</v>
      </c>
      <c r="E123" s="114">
        <v>87</v>
      </c>
      <c r="F123" s="114">
        <v>208</v>
      </c>
      <c r="G123" s="114">
        <v>48</v>
      </c>
      <c r="H123" s="114">
        <v>0</v>
      </c>
      <c r="I123" s="114">
        <v>100</v>
      </c>
      <c r="J123" s="114">
        <v>311</v>
      </c>
      <c r="K123" s="114">
        <v>300</v>
      </c>
      <c r="L123" s="114">
        <v>181</v>
      </c>
    </row>
    <row r="124" spans="1:12">
      <c r="A124" s="115" t="s">
        <v>315</v>
      </c>
      <c r="B124" s="116" t="s">
        <v>525</v>
      </c>
      <c r="C124" s="114">
        <v>3.541501976284585</v>
      </c>
      <c r="D124" s="114">
        <v>2.6941744132335721</v>
      </c>
      <c r="E124" s="114">
        <v>2.4909244583355652</v>
      </c>
      <c r="F124" s="114">
        <v>3.6596365030082381</v>
      </c>
      <c r="G124" s="114">
        <v>2.851374329295401</v>
      </c>
      <c r="H124" s="114">
        <v>0</v>
      </c>
      <c r="I124" s="114">
        <v>3.677363030279349</v>
      </c>
      <c r="J124" s="114">
        <v>4.171394505679463</v>
      </c>
      <c r="K124" s="114">
        <v>4.9356572712614604</v>
      </c>
      <c r="L124" s="114">
        <v>4.8726965013369483</v>
      </c>
    </row>
    <row r="125" spans="1:12">
      <c r="A125" s="115" t="s">
        <v>316</v>
      </c>
      <c r="B125" s="116" t="s">
        <v>526</v>
      </c>
      <c r="C125" s="114">
        <v>322.28101912862911</v>
      </c>
      <c r="D125" s="114">
        <v>297.65559128260088</v>
      </c>
      <c r="E125" s="114">
        <v>297.5701676963813</v>
      </c>
      <c r="F125" s="114">
        <v>301.16457821986819</v>
      </c>
      <c r="G125" s="114">
        <v>301.97856553998349</v>
      </c>
      <c r="H125" s="114">
        <v>0</v>
      </c>
      <c r="I125" s="114">
        <v>230.70053132780609</v>
      </c>
      <c r="J125" s="114">
        <v>302.31204003532531</v>
      </c>
      <c r="K125" s="114">
        <v>325.75668503776279</v>
      </c>
      <c r="L125" s="114">
        <v>290.69512000955302</v>
      </c>
    </row>
    <row r="126" spans="1:12">
      <c r="A126" s="115" t="s">
        <v>317</v>
      </c>
      <c r="B126" s="116" t="s">
        <v>527</v>
      </c>
      <c r="C126" s="114">
        <v>8.7614862393082247E-4</v>
      </c>
      <c r="D126" s="114">
        <v>1.2469821815562479E-3</v>
      </c>
      <c r="E126" s="114">
        <v>1.3491183621308111E-3</v>
      </c>
      <c r="F126" s="114">
        <v>9.0731514169963207E-4</v>
      </c>
      <c r="G126" s="114">
        <v>1.1613674421736169E-3</v>
      </c>
      <c r="H126" s="114">
        <v>0</v>
      </c>
      <c r="I126" s="114">
        <v>1.17873152708549E-3</v>
      </c>
      <c r="J126" s="114">
        <v>7.9298193050816607E-4</v>
      </c>
      <c r="K126" s="114">
        <v>6.2195887332594057E-4</v>
      </c>
      <c r="L126" s="114">
        <v>7.0598081107179841E-4</v>
      </c>
    </row>
    <row r="127" spans="1:12">
      <c r="A127" s="115" t="s">
        <v>116</v>
      </c>
      <c r="B127" s="116" t="s">
        <v>528</v>
      </c>
      <c r="C127" s="114">
        <v>115.9135867974239</v>
      </c>
      <c r="D127" s="114">
        <v>153.28154372125709</v>
      </c>
      <c r="E127" s="114">
        <v>171.50127531243081</v>
      </c>
      <c r="F127" s="114">
        <v>141.0158266380985</v>
      </c>
      <c r="G127" s="114">
        <v>212.70444703409791</v>
      </c>
      <c r="H127" s="114">
        <v>0</v>
      </c>
      <c r="I127" s="114">
        <v>173.67666066383029</v>
      </c>
      <c r="J127" s="114">
        <v>165.6317217891017</v>
      </c>
      <c r="K127" s="114">
        <v>130.17350435162609</v>
      </c>
      <c r="L127" s="114">
        <v>169.04498726870889</v>
      </c>
    </row>
    <row r="128" spans="1:12">
      <c r="A128" s="115" t="s">
        <v>318</v>
      </c>
      <c r="B128" s="116" t="s">
        <v>529</v>
      </c>
      <c r="C128" s="114">
        <v>1.1737482088731909E-3</v>
      </c>
      <c r="D128" s="114">
        <v>1.04247292708268E-3</v>
      </c>
      <c r="E128" s="114">
        <v>1.164245089324345E-3</v>
      </c>
      <c r="F128" s="114">
        <v>1.070211447187532E-3</v>
      </c>
      <c r="G128" s="114">
        <v>9.7890097890097894E-4</v>
      </c>
      <c r="H128" s="114">
        <v>2.392571506032263E-3</v>
      </c>
      <c r="I128" s="114">
        <v>1.099159648656737E-3</v>
      </c>
      <c r="J128" s="114">
        <v>8.3783369719253901E-4</v>
      </c>
      <c r="K128" s="114">
        <v>7.4057793746655455E-4</v>
      </c>
      <c r="L128" s="114">
        <v>8.8099822070178771E-4</v>
      </c>
    </row>
    <row r="129" spans="1:12">
      <c r="A129" s="115" t="s">
        <v>191</v>
      </c>
      <c r="B129" s="116" t="s">
        <v>530</v>
      </c>
      <c r="C129" s="114">
        <v>155.28571428571431</v>
      </c>
      <c r="D129" s="114">
        <v>128.14285714285711</v>
      </c>
      <c r="E129" s="114">
        <v>148</v>
      </c>
      <c r="F129" s="114">
        <v>166.33333333333329</v>
      </c>
      <c r="G129" s="114">
        <v>179.28571428571431</v>
      </c>
      <c r="H129" s="114">
        <v>117.6666666666667</v>
      </c>
      <c r="I129" s="114">
        <v>161.95238095238099</v>
      </c>
      <c r="J129" s="114">
        <v>175</v>
      </c>
      <c r="K129" s="114">
        <v>155</v>
      </c>
      <c r="L129" s="114">
        <v>210.95238095238099</v>
      </c>
    </row>
    <row r="130" spans="1:12">
      <c r="A130" s="115" t="s">
        <v>319</v>
      </c>
      <c r="B130" s="116" t="s">
        <v>531</v>
      </c>
      <c r="C130" s="114">
        <v>1397</v>
      </c>
      <c r="D130" s="114">
        <v>230</v>
      </c>
      <c r="E130" s="114">
        <v>319</v>
      </c>
      <c r="F130" s="114">
        <v>604</v>
      </c>
      <c r="G130" s="114">
        <v>193</v>
      </c>
      <c r="H130" s="114">
        <v>0</v>
      </c>
      <c r="I130" s="114">
        <v>318</v>
      </c>
      <c r="J130" s="114">
        <v>628</v>
      </c>
      <c r="K130" s="114">
        <v>2125</v>
      </c>
      <c r="L130" s="114">
        <v>831</v>
      </c>
    </row>
    <row r="131" spans="1:12">
      <c r="A131" s="115" t="s">
        <v>320</v>
      </c>
      <c r="B131" s="116" t="s">
        <v>532</v>
      </c>
      <c r="C131" s="114">
        <v>3.4561280452456922</v>
      </c>
      <c r="D131" s="114">
        <v>2.1839165798576219</v>
      </c>
      <c r="E131" s="114">
        <v>3.468991540245244</v>
      </c>
      <c r="F131" s="114">
        <v>4.9138208497691496</v>
      </c>
      <c r="G131" s="114">
        <v>3.911306549323295</v>
      </c>
      <c r="H131" s="114">
        <v>0</v>
      </c>
      <c r="I131" s="114">
        <v>2.9159238193172441</v>
      </c>
      <c r="J131" s="114">
        <v>4.4609299152975961</v>
      </c>
      <c r="K131" s="114">
        <v>3.914167943574681</v>
      </c>
      <c r="L131" s="114">
        <v>4.6025117538747073</v>
      </c>
    </row>
    <row r="132" spans="1:12">
      <c r="A132" s="115" t="s">
        <v>321</v>
      </c>
      <c r="B132" s="116" t="s">
        <v>533</v>
      </c>
      <c r="C132" s="114">
        <v>316.44806225680941</v>
      </c>
      <c r="D132" s="114">
        <v>294.03611683432308</v>
      </c>
      <c r="E132" s="114">
        <v>302.03525278753631</v>
      </c>
      <c r="F132" s="114">
        <v>297.30461071437458</v>
      </c>
      <c r="G132" s="114">
        <v>305.84938551381498</v>
      </c>
      <c r="H132" s="114">
        <v>0</v>
      </c>
      <c r="I132" s="114">
        <v>222.70880092078761</v>
      </c>
      <c r="J132" s="114">
        <v>300.74927916842671</v>
      </c>
      <c r="K132" s="114">
        <v>326.80010491140808</v>
      </c>
      <c r="L132" s="114">
        <v>292.81976094727429</v>
      </c>
    </row>
    <row r="133" spans="1:12">
      <c r="A133" s="115" t="s">
        <v>322</v>
      </c>
      <c r="B133" s="116" t="s">
        <v>534</v>
      </c>
      <c r="C133" s="114">
        <v>9.143400331230228E-4</v>
      </c>
      <c r="D133" s="114">
        <v>1.557267700650934E-3</v>
      </c>
      <c r="E133" s="114">
        <v>9.544191036729929E-4</v>
      </c>
      <c r="F133" s="114">
        <v>6.8450880163169875E-4</v>
      </c>
      <c r="G133" s="114">
        <v>8.359311952545257E-4</v>
      </c>
      <c r="H133" s="114">
        <v>0</v>
      </c>
      <c r="I133" s="114">
        <v>1.5398784697732799E-3</v>
      </c>
      <c r="J133" s="114">
        <v>7.4536673157312881E-4</v>
      </c>
      <c r="K133" s="114">
        <v>7.8176884129014536E-4</v>
      </c>
      <c r="L133" s="114">
        <v>7.4200137825810241E-4</v>
      </c>
    </row>
    <row r="134" spans="1:12">
      <c r="A134" s="115" t="s">
        <v>118</v>
      </c>
      <c r="B134" s="116" t="s">
        <v>535</v>
      </c>
      <c r="C134" s="114">
        <v>152.37842388008431</v>
      </c>
      <c r="D134" s="114">
        <v>247.74260396115579</v>
      </c>
      <c r="E134" s="114">
        <v>154.69606599973341</v>
      </c>
      <c r="F134" s="114">
        <v>134.07816151960901</v>
      </c>
      <c r="G134" s="114">
        <v>195.55272823067219</v>
      </c>
      <c r="H134" s="114">
        <v>0</v>
      </c>
      <c r="I134" s="114">
        <v>273.53477209970691</v>
      </c>
      <c r="J134" s="114">
        <v>206.8847353821692</v>
      </c>
      <c r="K134" s="114">
        <v>215.57666682996401</v>
      </c>
      <c r="L134" s="114">
        <v>255.08523381757041</v>
      </c>
    </row>
    <row r="135" spans="1:12">
      <c r="A135" s="115" t="s">
        <v>323</v>
      </c>
      <c r="B135" s="116" t="s">
        <v>536</v>
      </c>
      <c r="C135" s="114">
        <v>1.0957975663293271E-3</v>
      </c>
      <c r="D135" s="114">
        <v>1.1512047240700559E-3</v>
      </c>
      <c r="E135" s="114">
        <v>1.1290441993040651E-3</v>
      </c>
      <c r="F135" s="114">
        <v>9.4447989789406511E-4</v>
      </c>
      <c r="G135" s="114">
        <v>8.5066728222490105E-4</v>
      </c>
      <c r="H135" s="114">
        <v>2.0558021226451E-3</v>
      </c>
      <c r="I135" s="114">
        <v>9.824910181823836E-4</v>
      </c>
      <c r="J135" s="114">
        <v>8.3224948750004507E-4</v>
      </c>
      <c r="K135" s="114">
        <v>7.9660084737055237E-4</v>
      </c>
      <c r="L135" s="114">
        <v>8.1959946699024016E-4</v>
      </c>
    </row>
    <row r="136" spans="1:12">
      <c r="A136" s="115" t="s">
        <v>193</v>
      </c>
      <c r="B136" s="116" t="s">
        <v>537</v>
      </c>
      <c r="C136" s="114">
        <v>182.61904761904759</v>
      </c>
      <c r="D136" s="114">
        <v>183.14285714285711</v>
      </c>
      <c r="E136" s="114">
        <v>183</v>
      </c>
      <c r="F136" s="114">
        <v>185</v>
      </c>
      <c r="G136" s="114">
        <v>199</v>
      </c>
      <c r="H136" s="114">
        <v>141.47619047619051</v>
      </c>
      <c r="I136" s="114">
        <v>174.52380952380949</v>
      </c>
      <c r="J136" s="114">
        <v>231</v>
      </c>
      <c r="K136" s="114">
        <v>219.66666666666671</v>
      </c>
      <c r="L136" s="114">
        <v>281.76190476190482</v>
      </c>
    </row>
    <row r="137" spans="1:12">
      <c r="A137" s="115" t="s">
        <v>324</v>
      </c>
      <c r="B137" s="116" t="s">
        <v>538</v>
      </c>
      <c r="C137" s="114">
        <v>317</v>
      </c>
      <c r="D137" s="114">
        <v>39</v>
      </c>
      <c r="E137" s="114">
        <v>334</v>
      </c>
      <c r="F137" s="114">
        <v>745</v>
      </c>
      <c r="G137" s="114">
        <v>280</v>
      </c>
      <c r="H137" s="114">
        <v>0</v>
      </c>
      <c r="I137" s="114">
        <v>62</v>
      </c>
      <c r="J137" s="114">
        <v>259</v>
      </c>
      <c r="K137" s="114">
        <v>234</v>
      </c>
      <c r="L137" s="114">
        <v>300</v>
      </c>
    </row>
    <row r="138" spans="1:12">
      <c r="A138" s="115" t="s">
        <v>325</v>
      </c>
      <c r="B138" s="116" t="s">
        <v>539</v>
      </c>
      <c r="C138" s="114">
        <v>2.8078029025361451</v>
      </c>
      <c r="D138" s="114">
        <v>2.8312192118226598</v>
      </c>
      <c r="E138" s="114">
        <v>3.840558608058608</v>
      </c>
      <c r="F138" s="114">
        <v>3.7960789210789221</v>
      </c>
      <c r="G138" s="114">
        <v>4.0106342932429886</v>
      </c>
      <c r="H138" s="114">
        <v>0</v>
      </c>
      <c r="I138" s="114">
        <v>2.4048736424394321</v>
      </c>
      <c r="J138" s="114">
        <v>2.6092169514730492</v>
      </c>
      <c r="K138" s="114">
        <v>3.265841144149968</v>
      </c>
      <c r="L138" s="114">
        <v>2.9209672830725459</v>
      </c>
    </row>
    <row r="139" spans="1:12">
      <c r="A139" s="115" t="s">
        <v>326</v>
      </c>
      <c r="B139" s="116" t="s">
        <v>540</v>
      </c>
      <c r="C139" s="114">
        <v>298.12247043363999</v>
      </c>
      <c r="D139" s="114">
        <v>286.93553664921473</v>
      </c>
      <c r="E139" s="114">
        <v>288.53968253968247</v>
      </c>
      <c r="F139" s="114">
        <v>300.16520844055577</v>
      </c>
      <c r="G139" s="114">
        <v>260.24783147459732</v>
      </c>
      <c r="H139" s="114">
        <v>0</v>
      </c>
      <c r="I139" s="114">
        <v>202.16784244562021</v>
      </c>
      <c r="J139" s="114">
        <v>271.82611111111112</v>
      </c>
      <c r="K139" s="114">
        <v>261.61121856866538</v>
      </c>
      <c r="L139" s="114">
        <v>273.98355828220861</v>
      </c>
    </row>
    <row r="140" spans="1:12">
      <c r="A140" s="115" t="s">
        <v>327</v>
      </c>
      <c r="B140" s="116" t="s">
        <v>541</v>
      </c>
      <c r="C140" s="114">
        <v>1.194644450319128E-3</v>
      </c>
      <c r="D140" s="114">
        <v>1.230954966472112E-3</v>
      </c>
      <c r="E140" s="114">
        <v>9.0240200880322276E-4</v>
      </c>
      <c r="F140" s="114">
        <v>8.776157618380372E-4</v>
      </c>
      <c r="G140" s="114">
        <v>9.5807568338724888E-4</v>
      </c>
      <c r="H140" s="114">
        <v>0</v>
      </c>
      <c r="I140" s="114">
        <v>2.0568170381347929E-3</v>
      </c>
      <c r="J140" s="114">
        <v>1.4099335234399419E-3</v>
      </c>
      <c r="K140" s="114">
        <v>1.170438449513245E-3</v>
      </c>
      <c r="L140" s="114">
        <v>1.2495360943523489E-3</v>
      </c>
    </row>
    <row r="141" spans="1:12">
      <c r="A141" s="115" t="s">
        <v>121</v>
      </c>
      <c r="B141" s="116" t="s">
        <v>542</v>
      </c>
      <c r="C141" s="114">
        <v>22.215608198134511</v>
      </c>
      <c r="D141" s="114">
        <v>17.694977643036609</v>
      </c>
      <c r="E141" s="114">
        <v>10.21880034768769</v>
      </c>
      <c r="F141" s="114">
        <v>8.3908842989334733</v>
      </c>
      <c r="G141" s="114">
        <v>10.060752751249501</v>
      </c>
      <c r="H141" s="114">
        <v>0</v>
      </c>
      <c r="I141" s="114">
        <v>23.190612104969791</v>
      </c>
      <c r="J141" s="114">
        <v>23.385157419774881</v>
      </c>
      <c r="K141" s="114">
        <v>10.213245910452571</v>
      </c>
      <c r="L141" s="114">
        <v>22.87025913493104</v>
      </c>
    </row>
    <row r="142" spans="1:12">
      <c r="A142" s="115" t="s">
        <v>328</v>
      </c>
      <c r="B142" s="116" t="s">
        <v>543</v>
      </c>
      <c r="C142" s="114">
        <v>1.093425109342511E-3</v>
      </c>
      <c r="D142" s="114">
        <v>1.036853002070393E-3</v>
      </c>
      <c r="E142" s="114">
        <v>9.4195219592605665E-4</v>
      </c>
      <c r="F142" s="114">
        <v>8.367325593557159E-4</v>
      </c>
      <c r="G142" s="114">
        <v>1.047519283877726E-3</v>
      </c>
      <c r="H142" s="114">
        <v>1.7744719122973339E-3</v>
      </c>
      <c r="I142" s="114">
        <v>1.1318762538274729E-3</v>
      </c>
      <c r="J142" s="114">
        <v>8.4408537320631856E-4</v>
      </c>
      <c r="K142" s="114">
        <v>1.0314004125601651E-3</v>
      </c>
      <c r="L142" s="114">
        <v>9.4962314270624377E-4</v>
      </c>
    </row>
    <row r="143" spans="1:12">
      <c r="A143" s="115" t="s">
        <v>196</v>
      </c>
      <c r="B143" s="116" t="s">
        <v>544</v>
      </c>
      <c r="C143" s="114">
        <v>20.333333333333329</v>
      </c>
      <c r="D143" s="114">
        <v>14.90476190476191</v>
      </c>
      <c r="E143" s="114">
        <v>10.66666666666667</v>
      </c>
      <c r="F143" s="114">
        <v>8</v>
      </c>
      <c r="G143" s="114">
        <v>11</v>
      </c>
      <c r="H143" s="114">
        <v>3.4761904761904758</v>
      </c>
      <c r="I143" s="114">
        <v>12.761904761904759</v>
      </c>
      <c r="J143" s="114">
        <v>14</v>
      </c>
      <c r="K143" s="114">
        <v>9</v>
      </c>
      <c r="L143" s="114">
        <v>17.38095238095238</v>
      </c>
    </row>
    <row r="144" spans="1:12">
      <c r="A144" s="115" t="s">
        <v>329</v>
      </c>
      <c r="B144" s="116" t="s">
        <v>545</v>
      </c>
      <c r="C144" s="114">
        <v>42</v>
      </c>
      <c r="D144" s="114">
        <v>122</v>
      </c>
      <c r="E144" s="114">
        <v>153</v>
      </c>
      <c r="F144" s="114">
        <v>132</v>
      </c>
      <c r="G144" s="114">
        <v>185</v>
      </c>
      <c r="H144" s="114">
        <v>0</v>
      </c>
      <c r="I144" s="114">
        <v>79</v>
      </c>
      <c r="J144" s="114">
        <v>39</v>
      </c>
      <c r="K144" s="114">
        <v>88</v>
      </c>
      <c r="L144" s="114">
        <v>111</v>
      </c>
    </row>
    <row r="145" spans="1:12">
      <c r="A145" s="115" t="s">
        <v>330</v>
      </c>
      <c r="B145" s="116" t="s">
        <v>546</v>
      </c>
      <c r="C145" s="114">
        <v>2.4169150172439648</v>
      </c>
      <c r="D145" s="114">
        <v>2.6403021978021979</v>
      </c>
      <c r="E145" s="114">
        <v>2.7487179487179492</v>
      </c>
      <c r="F145" s="114">
        <v>2.9203571428571431</v>
      </c>
      <c r="G145" s="114">
        <v>2.0386752136752131</v>
      </c>
      <c r="H145" s="114">
        <v>0</v>
      </c>
      <c r="I145" s="114">
        <v>1.5067942302031201</v>
      </c>
      <c r="J145" s="114">
        <v>1.567557861059484</v>
      </c>
      <c r="K145" s="114">
        <v>2.2707320261437909</v>
      </c>
      <c r="L145" s="114">
        <v>2.5652509652509661</v>
      </c>
    </row>
    <row r="146" spans="1:12">
      <c r="A146" s="115" t="s">
        <v>331</v>
      </c>
      <c r="B146" s="116" t="s">
        <v>547</v>
      </c>
      <c r="C146" s="114">
        <v>293.23334977799698</v>
      </c>
      <c r="D146" s="114">
        <v>274.40305149396062</v>
      </c>
      <c r="E146" s="114">
        <v>285.05958132045089</v>
      </c>
      <c r="F146" s="114">
        <v>289.71943887775552</v>
      </c>
      <c r="G146" s="114">
        <v>218.63603732950469</v>
      </c>
      <c r="H146" s="114">
        <v>0</v>
      </c>
      <c r="I146" s="114">
        <v>177.62540540540539</v>
      </c>
      <c r="J146" s="114">
        <v>290.33150384193192</v>
      </c>
      <c r="K146" s="114">
        <v>275.01102941176481</v>
      </c>
      <c r="L146" s="114">
        <v>254.52700421940929</v>
      </c>
    </row>
    <row r="147" spans="1:12">
      <c r="A147" s="115" t="s">
        <v>332</v>
      </c>
      <c r="B147" s="116" t="s">
        <v>548</v>
      </c>
      <c r="C147" s="114">
        <v>1.4109942964192291E-3</v>
      </c>
      <c r="D147" s="114">
        <v>1.380248952299244E-3</v>
      </c>
      <c r="E147" s="114">
        <v>1.2762453675966071E-3</v>
      </c>
      <c r="F147" s="114">
        <v>1.1819154184546079E-3</v>
      </c>
      <c r="G147" s="114">
        <v>2.2435213659203301E-3</v>
      </c>
      <c r="H147" s="114">
        <v>0</v>
      </c>
      <c r="I147" s="114">
        <v>3.7362933703748501E-3</v>
      </c>
      <c r="J147" s="114">
        <v>2.19726407980956E-3</v>
      </c>
      <c r="K147" s="114">
        <v>1.601341662902643E-3</v>
      </c>
      <c r="L147" s="114">
        <v>1.5315679669323319E-3</v>
      </c>
    </row>
    <row r="148" spans="1:12">
      <c r="A148" s="115" t="s">
        <v>123</v>
      </c>
      <c r="B148" s="116" t="s">
        <v>549</v>
      </c>
      <c r="C148" s="114">
        <v>13.74872842430897</v>
      </c>
      <c r="D148" s="114">
        <v>9.7666415864694525</v>
      </c>
      <c r="E148" s="114">
        <v>7.4073281135307072</v>
      </c>
      <c r="F148" s="114">
        <v>5.6022790834748397</v>
      </c>
      <c r="G148" s="114">
        <v>11.388114453411591</v>
      </c>
      <c r="H148" s="114">
        <v>0</v>
      </c>
      <c r="I148" s="114">
        <v>20.127412386209318</v>
      </c>
      <c r="J148" s="114">
        <v>18.747057128935161</v>
      </c>
      <c r="K148" s="114">
        <v>7.7280748651681561</v>
      </c>
      <c r="L148" s="114">
        <v>15.14567562499383</v>
      </c>
    </row>
    <row r="149" spans="1:12">
      <c r="A149" s="115" t="s">
        <v>333</v>
      </c>
      <c r="B149" s="116" t="s">
        <v>550</v>
      </c>
      <c r="C149" s="114">
        <v>1.334154351395731E-3</v>
      </c>
      <c r="D149" s="114">
        <v>1.554550593555681E-3</v>
      </c>
      <c r="E149" s="114">
        <v>1.3783597518952451E-3</v>
      </c>
      <c r="F149" s="114">
        <v>1.476793248945148E-3</v>
      </c>
      <c r="G149" s="114">
        <v>1.9700551615445231E-3</v>
      </c>
      <c r="H149" s="114">
        <v>2.1528525296017221E-3</v>
      </c>
      <c r="I149" s="114">
        <v>1.670688695006497E-3</v>
      </c>
      <c r="J149" s="114">
        <v>9.8229634094612996E-4</v>
      </c>
      <c r="K149" s="114">
        <v>1.036054703688355E-3</v>
      </c>
      <c r="L149" s="114">
        <v>1.617959348771362E-3</v>
      </c>
    </row>
    <row r="150" spans="1:12">
      <c r="A150" s="115" t="s">
        <v>198</v>
      </c>
      <c r="B150" s="116" t="s">
        <v>551</v>
      </c>
      <c r="C150" s="114">
        <v>13</v>
      </c>
      <c r="D150" s="114">
        <v>11</v>
      </c>
      <c r="E150" s="114">
        <v>8</v>
      </c>
      <c r="F150" s="114">
        <v>7</v>
      </c>
      <c r="G150" s="114">
        <v>10</v>
      </c>
      <c r="H150" s="114">
        <v>2</v>
      </c>
      <c r="I150" s="114">
        <v>9</v>
      </c>
      <c r="J150" s="114">
        <v>8.3809523809523814</v>
      </c>
      <c r="K150" s="114">
        <v>5</v>
      </c>
      <c r="L150" s="114">
        <v>16</v>
      </c>
    </row>
    <row r="151" spans="1:12">
      <c r="A151" s="115" t="s">
        <v>334</v>
      </c>
      <c r="B151" s="116" t="s">
        <v>552</v>
      </c>
      <c r="C151" s="114">
        <v>249</v>
      </c>
      <c r="D151" s="114">
        <v>378</v>
      </c>
      <c r="E151" s="114">
        <v>343</v>
      </c>
      <c r="F151" s="114">
        <v>419</v>
      </c>
      <c r="G151" s="114">
        <v>81</v>
      </c>
      <c r="H151" s="114">
        <v>0</v>
      </c>
      <c r="I151" s="114">
        <v>79</v>
      </c>
      <c r="J151" s="114">
        <v>41</v>
      </c>
      <c r="K151" s="114">
        <v>158</v>
      </c>
      <c r="L151" s="114">
        <v>181</v>
      </c>
    </row>
    <row r="152" spans="1:12">
      <c r="A152" s="115" t="s">
        <v>335</v>
      </c>
      <c r="B152" s="116" t="s">
        <v>553</v>
      </c>
      <c r="C152" s="114">
        <v>1.434641241111829</v>
      </c>
      <c r="D152" s="114">
        <v>1.5875963117342431</v>
      </c>
      <c r="E152" s="114">
        <v>2.4964529914529909</v>
      </c>
      <c r="F152" s="114">
        <v>2.1622294372294371</v>
      </c>
      <c r="G152" s="114">
        <v>2.9636363636363638</v>
      </c>
      <c r="H152" s="114">
        <v>0</v>
      </c>
      <c r="I152" s="114">
        <v>1.264372372463417</v>
      </c>
      <c r="J152" s="114">
        <v>1.914207317073171</v>
      </c>
      <c r="K152" s="114">
        <v>2.3433333333333328</v>
      </c>
      <c r="L152" s="114">
        <v>3.4738095238095239</v>
      </c>
    </row>
    <row r="153" spans="1:12">
      <c r="A153" s="115" t="s">
        <v>336</v>
      </c>
      <c r="B153" s="116" t="s">
        <v>554</v>
      </c>
      <c r="C153" s="114">
        <v>303.35505617977532</v>
      </c>
      <c r="D153" s="114">
        <v>300.22859069453813</v>
      </c>
      <c r="E153" s="114">
        <v>292.29166666666669</v>
      </c>
      <c r="F153" s="114">
        <v>279.01423149905128</v>
      </c>
      <c r="G153" s="114">
        <v>311.22650840751731</v>
      </c>
      <c r="H153" s="114">
        <v>0</v>
      </c>
      <c r="I153" s="114">
        <v>223.5021779713752</v>
      </c>
      <c r="J153" s="114">
        <v>216.7819343065693</v>
      </c>
      <c r="K153" s="114">
        <v>246.734693877551</v>
      </c>
      <c r="L153" s="114">
        <v>297.36616454229431</v>
      </c>
    </row>
    <row r="154" spans="1:12">
      <c r="A154" s="115" t="s">
        <v>337</v>
      </c>
      <c r="B154" s="116" t="s">
        <v>555</v>
      </c>
      <c r="C154" s="114">
        <v>2.2977641585653292E-3</v>
      </c>
      <c r="D154" s="114">
        <v>2.098011532250154E-3</v>
      </c>
      <c r="E154" s="114">
        <v>1.37044046544658E-3</v>
      </c>
      <c r="F154" s="114">
        <v>1.6575699648208001E-3</v>
      </c>
      <c r="G154" s="114">
        <v>1.084172793024482E-3</v>
      </c>
      <c r="H154" s="114">
        <v>0</v>
      </c>
      <c r="I154" s="114">
        <v>3.5386958996026191E-3</v>
      </c>
      <c r="J154" s="114">
        <v>2.4098385135643799E-3</v>
      </c>
      <c r="K154" s="114">
        <v>1.729560303414293E-3</v>
      </c>
      <c r="L154" s="114">
        <v>9.6806038258875535E-4</v>
      </c>
    </row>
    <row r="155" spans="1:12">
      <c r="A155" s="115" t="s">
        <v>125</v>
      </c>
      <c r="B155" s="116" t="s">
        <v>556</v>
      </c>
      <c r="C155" s="114">
        <v>20.33980833162029</v>
      </c>
      <c r="D155" s="114">
        <v>15.31338617389388</v>
      </c>
      <c r="E155" s="114">
        <v>7.5648313692651206</v>
      </c>
      <c r="F155" s="114">
        <v>7.9911448004010754</v>
      </c>
      <c r="G155" s="114">
        <v>5.8816374021578159</v>
      </c>
      <c r="H155" s="114">
        <v>0</v>
      </c>
      <c r="I155" s="114">
        <v>20.835841456860219</v>
      </c>
      <c r="J155" s="114">
        <v>19.408839388247511</v>
      </c>
      <c r="K155" s="114">
        <v>6.7452851833157448</v>
      </c>
      <c r="L155" s="114">
        <v>8.145260059101787</v>
      </c>
    </row>
    <row r="156" spans="1:12">
      <c r="A156" s="115" t="s">
        <v>338</v>
      </c>
      <c r="B156" s="116" t="s">
        <v>557</v>
      </c>
      <c r="C156" s="114">
        <v>2.1087513179695741E-3</v>
      </c>
      <c r="D156" s="114">
        <v>1.1678051135511061E-3</v>
      </c>
      <c r="E156" s="114">
        <v>1.682194616977226E-3</v>
      </c>
      <c r="F156" s="114">
        <v>1.451980916822236E-3</v>
      </c>
      <c r="G156" s="114">
        <v>1.84331797235023E-3</v>
      </c>
      <c r="H156" s="114">
        <v>2.9126213592233011E-3</v>
      </c>
      <c r="I156" s="114">
        <v>1.188858695652174E-3</v>
      </c>
      <c r="J156" s="114">
        <v>1.4899428855227219E-3</v>
      </c>
      <c r="K156" s="114">
        <v>1.7948717948717951E-3</v>
      </c>
      <c r="L156" s="114">
        <v>1.1884953648680771E-3</v>
      </c>
    </row>
    <row r="157" spans="1:12">
      <c r="A157" s="115" t="s">
        <v>200</v>
      </c>
      <c r="B157" s="116" t="s">
        <v>558</v>
      </c>
      <c r="C157" s="114">
        <v>18.666666666666671</v>
      </c>
      <c r="D157" s="114">
        <v>8.5238095238095237</v>
      </c>
      <c r="E157" s="114">
        <v>9.2857142857142865</v>
      </c>
      <c r="F157" s="114">
        <v>7</v>
      </c>
      <c r="G157" s="114">
        <v>10</v>
      </c>
      <c r="H157" s="114">
        <v>3</v>
      </c>
      <c r="I157" s="114">
        <v>7</v>
      </c>
      <c r="J157" s="114">
        <v>12</v>
      </c>
      <c r="K157" s="114">
        <v>7</v>
      </c>
      <c r="L157" s="114">
        <v>10</v>
      </c>
    </row>
    <row r="158" spans="1:12">
      <c r="A158" s="115" t="s">
        <v>339</v>
      </c>
      <c r="B158" s="116" t="s">
        <v>559</v>
      </c>
      <c r="C158" s="114">
        <v>134</v>
      </c>
      <c r="D158" s="114">
        <v>138</v>
      </c>
      <c r="E158" s="114">
        <v>343</v>
      </c>
      <c r="F158" s="114">
        <v>161</v>
      </c>
      <c r="G158" s="114">
        <v>606</v>
      </c>
      <c r="H158" s="114">
        <v>0</v>
      </c>
      <c r="I158" s="114">
        <v>79</v>
      </c>
      <c r="J158" s="114">
        <v>41</v>
      </c>
      <c r="K158" s="114">
        <v>358</v>
      </c>
      <c r="L158" s="114">
        <v>531</v>
      </c>
    </row>
    <row r="159" spans="1:12">
      <c r="A159" s="115" t="s">
        <v>340</v>
      </c>
      <c r="B159" s="116" t="s">
        <v>560</v>
      </c>
      <c r="C159" s="114">
        <v>4.0165409110198347</v>
      </c>
      <c r="D159" s="114">
        <v>3.8645012537875711</v>
      </c>
      <c r="E159" s="114">
        <v>3.98143529103133</v>
      </c>
      <c r="F159" s="114">
        <v>5.1961322179335463</v>
      </c>
      <c r="G159" s="114">
        <v>4.0659581202196922</v>
      </c>
      <c r="H159" s="114">
        <v>0</v>
      </c>
      <c r="I159" s="114">
        <v>5.3594852282876868</v>
      </c>
      <c r="J159" s="114">
        <v>6.5176168810764246</v>
      </c>
      <c r="K159" s="114">
        <v>4.7917815330296722</v>
      </c>
      <c r="L159" s="114">
        <v>6.9350068797817936</v>
      </c>
    </row>
    <row r="160" spans="1:12">
      <c r="A160" s="115" t="s">
        <v>341</v>
      </c>
      <c r="B160" s="116" t="s">
        <v>561</v>
      </c>
      <c r="C160" s="114">
        <v>313.24094941591358</v>
      </c>
      <c r="D160" s="114">
        <v>290.98198032061327</v>
      </c>
      <c r="E160" s="114">
        <v>301.17891373801922</v>
      </c>
      <c r="F160" s="114">
        <v>291.22599390321352</v>
      </c>
      <c r="G160" s="114">
        <v>290.59765673357498</v>
      </c>
      <c r="H160" s="114">
        <v>0</v>
      </c>
      <c r="I160" s="114">
        <v>223.20295723990941</v>
      </c>
      <c r="J160" s="114">
        <v>299.50535067363398</v>
      </c>
      <c r="K160" s="114">
        <v>324.82559039876111</v>
      </c>
      <c r="L160" s="114">
        <v>287.59800732004879</v>
      </c>
    </row>
    <row r="161" spans="1:12">
      <c r="A161" s="115" t="s">
        <v>342</v>
      </c>
      <c r="B161" s="116" t="s">
        <v>562</v>
      </c>
      <c r="C161" s="114">
        <v>7.9482089090600133E-4</v>
      </c>
      <c r="D161" s="114">
        <v>8.8928394614508431E-4</v>
      </c>
      <c r="E161" s="114">
        <v>8.3394186344153045E-4</v>
      </c>
      <c r="F161" s="114">
        <v>6.6082987812438737E-4</v>
      </c>
      <c r="G161" s="114">
        <v>8.4634024131355898E-4</v>
      </c>
      <c r="H161" s="114">
        <v>0</v>
      </c>
      <c r="I161" s="114">
        <v>8.359436004982398E-4</v>
      </c>
      <c r="J161" s="114">
        <v>5.122790392554249E-4</v>
      </c>
      <c r="K161" s="114">
        <v>6.4246985332160706E-4</v>
      </c>
      <c r="L161" s="114">
        <v>5.0138025990150044E-4</v>
      </c>
    </row>
    <row r="162" spans="1:12">
      <c r="A162" s="115" t="s">
        <v>109</v>
      </c>
      <c r="B162" s="116" t="s">
        <v>563</v>
      </c>
      <c r="C162" s="114">
        <v>296.28299904035742</v>
      </c>
      <c r="D162" s="114">
        <v>322.04439897303467</v>
      </c>
      <c r="E162" s="114">
        <v>314.45946209907851</v>
      </c>
      <c r="F162" s="114">
        <v>298.06533403837062</v>
      </c>
      <c r="G162" s="114">
        <v>455.96495866743862</v>
      </c>
      <c r="H162" s="114">
        <v>0</v>
      </c>
      <c r="I162" s="114">
        <v>344.43300576968932</v>
      </c>
      <c r="J162" s="114">
        <v>311.5363503747156</v>
      </c>
      <c r="K162" s="114">
        <v>388.82147029052987</v>
      </c>
      <c r="L162" s="114">
        <v>395.26713893542711</v>
      </c>
    </row>
    <row r="163" spans="1:12">
      <c r="A163" s="115" t="s">
        <v>343</v>
      </c>
      <c r="B163" s="116" t="s">
        <v>564</v>
      </c>
      <c r="C163" s="114">
        <v>7.9406170610595895E-4</v>
      </c>
      <c r="D163" s="114">
        <v>8.1736570764264545E-4</v>
      </c>
      <c r="E163" s="114">
        <v>7.8498764174861303E-4</v>
      </c>
      <c r="F163" s="114">
        <v>7.1283881618503062E-4</v>
      </c>
      <c r="G163" s="114">
        <v>6.4443827494895802E-4</v>
      </c>
      <c r="H163" s="114">
        <v>1.3739695228578569E-3</v>
      </c>
      <c r="I163" s="114">
        <v>8.0322594029153525E-4</v>
      </c>
      <c r="J163" s="114">
        <v>5.6339029565501185E-4</v>
      </c>
      <c r="K163" s="114">
        <v>6.0161341923674252E-4</v>
      </c>
      <c r="L163" s="114">
        <v>5.8439729883414098E-4</v>
      </c>
    </row>
    <row r="164" spans="1:12">
      <c r="A164" s="115" t="s">
        <v>185</v>
      </c>
      <c r="B164" s="116" t="s">
        <v>565</v>
      </c>
      <c r="C164" s="114">
        <v>296</v>
      </c>
      <c r="D164" s="114">
        <v>296</v>
      </c>
      <c r="E164" s="114">
        <v>296</v>
      </c>
      <c r="F164" s="114">
        <v>321.52380952380952</v>
      </c>
      <c r="G164" s="114">
        <v>347.1904761904762</v>
      </c>
      <c r="H164" s="114">
        <v>220</v>
      </c>
      <c r="I164" s="114">
        <v>330.95238095238102</v>
      </c>
      <c r="J164" s="114">
        <v>342.61904761904759</v>
      </c>
      <c r="K164" s="114">
        <v>364.09523809523807</v>
      </c>
      <c r="L164" s="114">
        <v>460.71428571428572</v>
      </c>
    </row>
    <row r="165" spans="1:12">
      <c r="A165" s="115" t="s">
        <v>344</v>
      </c>
      <c r="B165" s="116" t="s">
        <v>566</v>
      </c>
      <c r="C165" s="114">
        <v>100</v>
      </c>
      <c r="D165" s="114">
        <v>54</v>
      </c>
      <c r="E165" s="114">
        <v>59</v>
      </c>
      <c r="F165" s="114">
        <v>163</v>
      </c>
      <c r="G165" s="114">
        <v>37</v>
      </c>
      <c r="H165" s="114">
        <v>0</v>
      </c>
      <c r="I165" s="114">
        <v>124</v>
      </c>
      <c r="J165" s="114">
        <v>324</v>
      </c>
      <c r="K165" s="114">
        <v>65</v>
      </c>
      <c r="L165" s="114">
        <v>218</v>
      </c>
    </row>
    <row r="166" spans="1:12">
      <c r="A166" s="115" t="s">
        <v>345</v>
      </c>
      <c r="B166" s="116" t="s">
        <v>567</v>
      </c>
      <c r="C166" s="114">
        <v>2.7654509580157609</v>
      </c>
      <c r="D166" s="114">
        <v>2.1438766394573832</v>
      </c>
      <c r="E166" s="114">
        <v>2.4490858215784819</v>
      </c>
      <c r="F166" s="114">
        <v>2.985056447894022</v>
      </c>
      <c r="G166" s="114">
        <v>2.8044921864060832</v>
      </c>
      <c r="H166" s="114">
        <v>0</v>
      </c>
      <c r="I166" s="114">
        <v>3.857688739209848</v>
      </c>
      <c r="J166" s="114">
        <v>4.2269040484596143</v>
      </c>
      <c r="K166" s="114">
        <v>4.4958939400235343</v>
      </c>
      <c r="L166" s="114">
        <v>5.0531529369264634</v>
      </c>
    </row>
    <row r="167" spans="1:12">
      <c r="A167" s="115" t="s">
        <v>346</v>
      </c>
      <c r="B167" s="116" t="s">
        <v>568</v>
      </c>
      <c r="C167" s="114">
        <v>313.6785133757611</v>
      </c>
      <c r="D167" s="114">
        <v>289.69683625593041</v>
      </c>
      <c r="E167" s="114">
        <v>301.86159187753168</v>
      </c>
      <c r="F167" s="114">
        <v>293.42856227027949</v>
      </c>
      <c r="G167" s="114">
        <v>289.41252006420552</v>
      </c>
      <c r="H167" s="114">
        <v>0</v>
      </c>
      <c r="I167" s="114">
        <v>223.59100469179751</v>
      </c>
      <c r="J167" s="114">
        <v>302.93044142614599</v>
      </c>
      <c r="K167" s="114">
        <v>324.86638158589369</v>
      </c>
      <c r="L167" s="114">
        <v>289.15677249444292</v>
      </c>
    </row>
    <row r="168" spans="1:12">
      <c r="A168" s="115" t="s">
        <v>347</v>
      </c>
      <c r="B168" s="116" t="s">
        <v>569</v>
      </c>
      <c r="C168" s="114">
        <v>1.152787524245839E-3</v>
      </c>
      <c r="D168" s="114">
        <v>1.6101133673804809E-3</v>
      </c>
      <c r="E168" s="114">
        <v>1.352658412843874E-3</v>
      </c>
      <c r="F168" s="114">
        <v>1.141681769339634E-3</v>
      </c>
      <c r="G168" s="114">
        <v>1.23205033388967E-3</v>
      </c>
      <c r="H168" s="114">
        <v>0</v>
      </c>
      <c r="I168" s="114">
        <v>1.15936047224736E-3</v>
      </c>
      <c r="J168" s="114">
        <v>7.8097061431200141E-4</v>
      </c>
      <c r="K168" s="114">
        <v>6.8466664576643849E-4</v>
      </c>
      <c r="L168" s="114">
        <v>6.8439084082147115E-4</v>
      </c>
    </row>
    <row r="169" spans="1:12">
      <c r="A169" s="115" t="s">
        <v>348</v>
      </c>
      <c r="B169" s="116" t="s">
        <v>570</v>
      </c>
      <c r="C169" s="114">
        <v>215.16663861296161</v>
      </c>
      <c r="D169" s="114">
        <v>291.72678035546511</v>
      </c>
      <c r="E169" s="114">
        <v>254.48103784196931</v>
      </c>
      <c r="F169" s="114">
        <v>256.99599132365972</v>
      </c>
      <c r="G169" s="114">
        <v>333.21540510246467</v>
      </c>
      <c r="H169" s="114">
        <v>0</v>
      </c>
      <c r="I169" s="114">
        <v>236.3982377331256</v>
      </c>
      <c r="J169" s="114">
        <v>236.1787902683925</v>
      </c>
      <c r="K169" s="114">
        <v>207.2054596748176</v>
      </c>
      <c r="L169" s="114">
        <v>268.54196251236971</v>
      </c>
    </row>
    <row r="170" spans="1:12">
      <c r="A170" s="115" t="s">
        <v>349</v>
      </c>
      <c r="B170" s="116" t="s">
        <v>571</v>
      </c>
      <c r="C170" s="114">
        <v>1.0511198891527749E-3</v>
      </c>
      <c r="D170" s="114">
        <v>1.045503860321946E-3</v>
      </c>
      <c r="E170" s="114">
        <v>1.047125984670501E-3</v>
      </c>
      <c r="F170" s="114">
        <v>9.7733037764934278E-4</v>
      </c>
      <c r="G170" s="114">
        <v>9.1239205180104993E-4</v>
      </c>
      <c r="H170" s="114">
        <v>2.0531632401653479E-3</v>
      </c>
      <c r="I170" s="114">
        <v>1.0938854512300841E-3</v>
      </c>
      <c r="J170" s="114">
        <v>8.1990225732145002E-4</v>
      </c>
      <c r="K170" s="114">
        <v>8.1615929314657494E-4</v>
      </c>
      <c r="L170" s="114">
        <v>8.7427173855925502E-4</v>
      </c>
    </row>
    <row r="171" spans="1:12">
      <c r="A171" s="115" t="s">
        <v>350</v>
      </c>
      <c r="B171" s="116" t="s">
        <v>572</v>
      </c>
      <c r="C171" s="114">
        <v>196.1904761904762</v>
      </c>
      <c r="D171" s="114">
        <v>189.42857142857139</v>
      </c>
      <c r="E171" s="114">
        <v>197</v>
      </c>
      <c r="F171" s="114">
        <v>220</v>
      </c>
      <c r="G171" s="114">
        <v>246.76190476190479</v>
      </c>
      <c r="H171" s="114">
        <v>150</v>
      </c>
      <c r="I171" s="114">
        <v>223.04761904761901</v>
      </c>
      <c r="J171" s="114">
        <v>247.95238095238099</v>
      </c>
      <c r="K171" s="114">
        <v>247</v>
      </c>
      <c r="L171" s="114">
        <v>343.04761904761898</v>
      </c>
    </row>
    <row r="172" spans="1:12">
      <c r="A172" s="115" t="s">
        <v>351</v>
      </c>
      <c r="B172" s="116" t="s">
        <v>573</v>
      </c>
      <c r="C172" s="114">
        <v>124</v>
      </c>
      <c r="D172" s="114">
        <v>45</v>
      </c>
      <c r="E172" s="114">
        <v>171</v>
      </c>
      <c r="F172" s="114">
        <v>150</v>
      </c>
      <c r="G172" s="114">
        <v>150</v>
      </c>
      <c r="H172" s="114">
        <v>0</v>
      </c>
      <c r="I172" s="114">
        <v>194</v>
      </c>
      <c r="J172" s="114">
        <v>353</v>
      </c>
      <c r="K172" s="114">
        <v>348</v>
      </c>
      <c r="L172" s="114">
        <v>390</v>
      </c>
    </row>
    <row r="173" spans="1:12">
      <c r="A173" s="115" t="s">
        <v>352</v>
      </c>
      <c r="B173" s="116" t="s">
        <v>574</v>
      </c>
      <c r="C173" s="114">
        <v>2.8316733372479121</v>
      </c>
      <c r="D173" s="114">
        <v>1.9418755001307271</v>
      </c>
      <c r="E173" s="114">
        <v>3.369045776826098</v>
      </c>
      <c r="F173" s="114">
        <v>4.684659366012319</v>
      </c>
      <c r="G173" s="114">
        <v>2.553109382108619</v>
      </c>
      <c r="H173" s="114">
        <v>0</v>
      </c>
      <c r="I173" s="114">
        <v>2.8539712265888939</v>
      </c>
      <c r="J173" s="114">
        <v>4.4344933924819676</v>
      </c>
      <c r="K173" s="114">
        <v>3.7004142602358532</v>
      </c>
      <c r="L173" s="114">
        <v>5.2647009487811722</v>
      </c>
    </row>
    <row r="174" spans="1:12">
      <c r="A174" s="115" t="s">
        <v>353</v>
      </c>
      <c r="B174" s="116" t="s">
        <v>575</v>
      </c>
      <c r="C174" s="114">
        <v>312.80336134453779</v>
      </c>
      <c r="D174" s="114">
        <v>292.28022559974579</v>
      </c>
      <c r="E174" s="114">
        <v>300.50221619648539</v>
      </c>
      <c r="F174" s="114">
        <v>289.06426174496647</v>
      </c>
      <c r="G174" s="114">
        <v>291.28544985316358</v>
      </c>
      <c r="H174" s="114">
        <v>0</v>
      </c>
      <c r="I174" s="114">
        <v>222.82408382476831</v>
      </c>
      <c r="J174" s="114">
        <v>296.19263358402571</v>
      </c>
      <c r="K174" s="114">
        <v>324.78479921162852</v>
      </c>
      <c r="L174" s="114">
        <v>286.06988725188307</v>
      </c>
    </row>
    <row r="175" spans="1:12">
      <c r="A175" s="115" t="s">
        <v>354</v>
      </c>
      <c r="B175" s="116" t="s">
        <v>576</v>
      </c>
      <c r="C175" s="114">
        <v>1.128977891069661E-3</v>
      </c>
      <c r="D175" s="114">
        <v>1.7618915944667751E-3</v>
      </c>
      <c r="E175" s="114">
        <v>9.8774629367542649E-4</v>
      </c>
      <c r="F175" s="114">
        <v>7.384610288572659E-4</v>
      </c>
      <c r="G175" s="114">
        <v>1.344657835638124E-3</v>
      </c>
      <c r="H175" s="114">
        <v>0</v>
      </c>
      <c r="I175" s="114">
        <v>1.5724914044194429E-3</v>
      </c>
      <c r="J175" s="114">
        <v>7.6134541141973061E-4</v>
      </c>
      <c r="K175" s="114">
        <v>8.3205868702226969E-4</v>
      </c>
      <c r="L175" s="114">
        <v>6.6397870080032334E-4</v>
      </c>
    </row>
    <row r="176" spans="1:12">
      <c r="A176" s="115" t="s">
        <v>355</v>
      </c>
      <c r="B176" s="116" t="s">
        <v>577</v>
      </c>
      <c r="C176" s="114">
        <v>210.12310713010331</v>
      </c>
      <c r="D176" s="114">
        <v>318.82309347673521</v>
      </c>
      <c r="E176" s="114">
        <v>186.62676021962241</v>
      </c>
      <c r="F176" s="114">
        <v>166.85083870412609</v>
      </c>
      <c r="G176" s="114">
        <v>360.76228469685913</v>
      </c>
      <c r="H176" s="114">
        <v>0</v>
      </c>
      <c r="I176" s="114">
        <v>327.27477354479657</v>
      </c>
      <c r="J176" s="114">
        <v>232.7592805246515</v>
      </c>
      <c r="K176" s="114">
        <v>251.7485084041449</v>
      </c>
      <c r="L176" s="114">
        <v>262.92029400680963</v>
      </c>
    </row>
    <row r="177" spans="1:12">
      <c r="A177" s="115" t="s">
        <v>356</v>
      </c>
      <c r="B177" s="116" t="s">
        <v>578</v>
      </c>
      <c r="C177" s="114">
        <v>1.0692141544611481E-3</v>
      </c>
      <c r="D177" s="114">
        <v>1.086826374881416E-3</v>
      </c>
      <c r="E177" s="114">
        <v>1.042648008383525E-3</v>
      </c>
      <c r="F177" s="114">
        <v>9.7369259639556701E-4</v>
      </c>
      <c r="G177" s="114">
        <v>9.197478307742086E-4</v>
      </c>
      <c r="H177" s="114">
        <v>2.182352806046266E-3</v>
      </c>
      <c r="I177" s="114">
        <v>1.0570570570570569E-3</v>
      </c>
      <c r="J177" s="114">
        <v>8.1010681852625979E-4</v>
      </c>
      <c r="K177" s="114">
        <v>8.163643033966704E-4</v>
      </c>
      <c r="L177" s="114">
        <v>8.5502801569643826E-4</v>
      </c>
    </row>
    <row r="178" spans="1:12">
      <c r="A178" s="115" t="s">
        <v>357</v>
      </c>
      <c r="B178" s="116" t="s">
        <v>579</v>
      </c>
      <c r="C178" s="114">
        <v>199</v>
      </c>
      <c r="D178" s="114">
        <v>196.66666666666671</v>
      </c>
      <c r="E178" s="114">
        <v>197</v>
      </c>
      <c r="F178" s="114">
        <v>220</v>
      </c>
      <c r="G178" s="114">
        <v>246.76190476190479</v>
      </c>
      <c r="H178" s="114">
        <v>190</v>
      </c>
      <c r="I178" s="114">
        <v>220</v>
      </c>
      <c r="J178" s="114">
        <v>247.66666666666671</v>
      </c>
      <c r="K178" s="114">
        <v>247</v>
      </c>
      <c r="L178" s="114">
        <v>338.57142857142861</v>
      </c>
    </row>
    <row r="179" spans="1:12">
      <c r="A179" s="115" t="s">
        <v>358</v>
      </c>
      <c r="B179" s="116" t="s">
        <v>580</v>
      </c>
      <c r="C179" s="114">
        <v>124</v>
      </c>
      <c r="D179" s="114">
        <v>27</v>
      </c>
      <c r="E179" s="114">
        <v>463</v>
      </c>
      <c r="F179" s="114">
        <v>629</v>
      </c>
      <c r="G179" s="114">
        <v>51</v>
      </c>
      <c r="H179" s="114">
        <v>0</v>
      </c>
      <c r="I179" s="114">
        <v>125</v>
      </c>
      <c r="J179" s="114">
        <v>408</v>
      </c>
      <c r="K179" s="114">
        <v>262</v>
      </c>
      <c r="L179" s="114">
        <v>401</v>
      </c>
    </row>
    <row r="180" spans="1:12">
      <c r="A180" s="115" t="s">
        <v>145</v>
      </c>
      <c r="B180" s="116" t="s">
        <v>581</v>
      </c>
      <c r="C180" s="114">
        <v>0.61855670103092775</v>
      </c>
      <c r="D180" s="114">
        <v>0.58981299212598426</v>
      </c>
      <c r="E180" s="114">
        <v>0.77314867156585654</v>
      </c>
      <c r="F180" s="114">
        <v>0.81516816516816526</v>
      </c>
      <c r="G180" s="114">
        <v>0.71693485749020636</v>
      </c>
      <c r="H180" s="114">
        <v>0</v>
      </c>
      <c r="I180" s="114">
        <v>0.64204892966360849</v>
      </c>
      <c r="J180" s="114">
        <v>0.75203405017921154</v>
      </c>
      <c r="K180" s="114">
        <v>0.54803338737764962</v>
      </c>
      <c r="L180" s="114">
        <v>0.66906349778555962</v>
      </c>
    </row>
    <row r="181" spans="1:12">
      <c r="A181" s="115" t="s">
        <v>147</v>
      </c>
      <c r="B181" s="116" t="s">
        <v>582</v>
      </c>
      <c r="C181" s="114">
        <v>0.70175438596491224</v>
      </c>
      <c r="D181" s="114">
        <v>0.60019180294770857</v>
      </c>
      <c r="E181" s="114">
        <v>0.63294501397949665</v>
      </c>
      <c r="F181" s="114">
        <v>0.53955149788483114</v>
      </c>
      <c r="G181" s="114">
        <v>0.597689735969825</v>
      </c>
      <c r="H181" s="114">
        <v>0</v>
      </c>
      <c r="I181" s="114">
        <v>0.97158577743974905</v>
      </c>
      <c r="J181" s="114">
        <v>0.69596918085969162</v>
      </c>
      <c r="K181" s="114">
        <v>0.7677389277389276</v>
      </c>
      <c r="L181" s="114">
        <v>0.68412151216288031</v>
      </c>
    </row>
    <row r="182" spans="1:12">
      <c r="A182" s="115" t="s">
        <v>359</v>
      </c>
      <c r="B182" s="116" t="s">
        <v>583</v>
      </c>
      <c r="C182" s="114">
        <v>0.51785913397057459</v>
      </c>
      <c r="D182" s="114">
        <v>0.66331861402695502</v>
      </c>
      <c r="E182" s="114">
        <v>0.7081759770615732</v>
      </c>
      <c r="F182" s="114">
        <v>0.615111334015495</v>
      </c>
      <c r="G182" s="114">
        <v>0.64371041119784222</v>
      </c>
      <c r="H182" s="114">
        <v>0</v>
      </c>
      <c r="I182" s="114">
        <v>0.61067135773015724</v>
      </c>
      <c r="J182" s="114">
        <v>0.63819009569095875</v>
      </c>
      <c r="K182" s="114">
        <v>0.46216984062201172</v>
      </c>
      <c r="L182" s="114">
        <v>0.55223374214065712</v>
      </c>
    </row>
    <row r="183" spans="1:12">
      <c r="A183" s="115" t="s">
        <v>360</v>
      </c>
      <c r="B183" s="116" t="s">
        <v>584</v>
      </c>
      <c r="C183" s="114">
        <v>0.6865599921635398</v>
      </c>
      <c r="D183" s="114">
        <v>1.0455406656822399</v>
      </c>
      <c r="E183" s="114">
        <v>0.63283597339286868</v>
      </c>
      <c r="F183" s="114">
        <v>0.58308862898783209</v>
      </c>
      <c r="G183" s="114">
        <v>0.57892996638465288</v>
      </c>
      <c r="H183" s="114">
        <v>0</v>
      </c>
      <c r="I183" s="114">
        <v>1.0829691174848299</v>
      </c>
      <c r="J183" s="114">
        <v>0.81154048355417696</v>
      </c>
      <c r="K183" s="114">
        <v>0.75718523710568597</v>
      </c>
      <c r="L183" s="114">
        <v>0.82988481274986714</v>
      </c>
    </row>
    <row r="184" spans="1:12">
      <c r="A184" s="115" t="s">
        <v>150</v>
      </c>
      <c r="B184" s="116" t="s">
        <v>585</v>
      </c>
      <c r="C184" s="114">
        <v>0.86804964633002302</v>
      </c>
      <c r="D184" s="114">
        <v>0.94240472190094182</v>
      </c>
      <c r="E184" s="114">
        <v>0.9642481511965445</v>
      </c>
      <c r="F184" s="114">
        <v>0.97138817526323218</v>
      </c>
      <c r="G184" s="114">
        <v>0.96696870491414211</v>
      </c>
      <c r="H184" s="114">
        <v>0</v>
      </c>
      <c r="I184" s="114">
        <v>0.97204564825768924</v>
      </c>
      <c r="J184" s="114">
        <v>0.89512265525188062</v>
      </c>
      <c r="K184" s="114">
        <v>0.97873559678311328</v>
      </c>
      <c r="L184" s="114">
        <v>0.96812184973233006</v>
      </c>
    </row>
    <row r="185" spans="1:12">
      <c r="A185" s="115" t="s">
        <v>152</v>
      </c>
      <c r="B185" s="116" t="s">
        <v>586</v>
      </c>
      <c r="C185" s="114">
        <v>0.53866370862031931</v>
      </c>
      <c r="D185" s="114">
        <v>0.65344295947798448</v>
      </c>
      <c r="E185" s="114">
        <v>0.70263743638958043</v>
      </c>
      <c r="F185" s="114">
        <v>0.61566383679674985</v>
      </c>
      <c r="G185" s="114">
        <v>0.63124688581681321</v>
      </c>
      <c r="H185" s="114">
        <v>0</v>
      </c>
      <c r="I185" s="114">
        <v>0.64244245365041408</v>
      </c>
      <c r="J185" s="114">
        <v>0.68982873645881448</v>
      </c>
      <c r="K185" s="114">
        <v>0.4617059205010699</v>
      </c>
      <c r="L185" s="114">
        <v>0.54918216180438262</v>
      </c>
    </row>
    <row r="186" spans="1:12">
      <c r="A186" s="115" t="s">
        <v>154</v>
      </c>
      <c r="B186" s="116" t="s">
        <v>587</v>
      </c>
      <c r="C186" s="114">
        <v>0.70811998134794518</v>
      </c>
      <c r="D186" s="114">
        <v>1.056132763221314</v>
      </c>
      <c r="E186" s="114">
        <v>0.63378681607813969</v>
      </c>
      <c r="F186" s="114">
        <v>0.58537454496979791</v>
      </c>
      <c r="G186" s="114">
        <v>0.58034541557471475</v>
      </c>
      <c r="H186" s="114">
        <v>0</v>
      </c>
      <c r="I186" s="114">
        <v>1.0118247867892129</v>
      </c>
      <c r="J186" s="114">
        <v>0.86164071748898774</v>
      </c>
      <c r="K186" s="114">
        <v>0.76461814478329893</v>
      </c>
      <c r="L186" s="114">
        <v>0.82870401788152159</v>
      </c>
    </row>
    <row r="187" spans="1:12">
      <c r="A187" s="115" t="s">
        <v>156</v>
      </c>
      <c r="B187" s="116" t="s">
        <v>588</v>
      </c>
      <c r="C187" s="114">
        <v>8.9616121475631624E-2</v>
      </c>
      <c r="D187" s="114">
        <v>7.1089472086152725E-2</v>
      </c>
      <c r="E187" s="114">
        <v>4.0369433985340167E-2</v>
      </c>
      <c r="F187" s="114">
        <v>3.5585767101838098E-2</v>
      </c>
      <c r="G187" s="114">
        <v>2.8871249085677061E-2</v>
      </c>
      <c r="H187" s="114">
        <v>0</v>
      </c>
      <c r="I187" s="114">
        <v>8.3385712501056308E-2</v>
      </c>
      <c r="J187" s="114">
        <v>8.7180752307877654E-2</v>
      </c>
      <c r="K187" s="114">
        <v>3.5454553455848373E-2</v>
      </c>
      <c r="L187" s="114">
        <v>7.1930856673424012E-2</v>
      </c>
    </row>
    <row r="188" spans="1:12">
      <c r="A188" s="115" t="s">
        <v>158</v>
      </c>
      <c r="B188" s="116" t="s">
        <v>589</v>
      </c>
      <c r="C188" s="114">
        <v>0.61887697611913584</v>
      </c>
      <c r="D188" s="114">
        <v>0.55194427387778333</v>
      </c>
      <c r="E188" s="114">
        <v>0.72487257422607676</v>
      </c>
      <c r="F188" s="114">
        <v>0.6676625351855846</v>
      </c>
      <c r="G188" s="114">
        <v>1.131934631034168</v>
      </c>
      <c r="H188" s="114">
        <v>0</v>
      </c>
      <c r="I188" s="114">
        <v>0.86791207990133112</v>
      </c>
      <c r="J188" s="114">
        <v>0.80166478217000725</v>
      </c>
      <c r="K188" s="114">
        <v>0.75667177045634315</v>
      </c>
      <c r="L188" s="114">
        <v>0.66224328878989325</v>
      </c>
    </row>
    <row r="189" spans="1:12">
      <c r="A189" s="115" t="s">
        <v>160</v>
      </c>
      <c r="B189" s="116" t="s">
        <v>590</v>
      </c>
      <c r="C189" s="114">
        <v>0.91556387519150884</v>
      </c>
      <c r="D189" s="114">
        <v>0.86540861948588288</v>
      </c>
      <c r="E189" s="114">
        <v>0.74028566092661641</v>
      </c>
      <c r="F189" s="114">
        <v>0.95236026570129118</v>
      </c>
      <c r="G189" s="114">
        <v>0.5846120611032154</v>
      </c>
      <c r="H189" s="114">
        <v>0</v>
      </c>
      <c r="I189" s="114">
        <v>0.898460177012536</v>
      </c>
      <c r="J189" s="114">
        <v>0.8299640254649332</v>
      </c>
      <c r="K189" s="114">
        <v>0.66044480299964148</v>
      </c>
      <c r="L189" s="114">
        <v>0.35615075505030341</v>
      </c>
    </row>
    <row r="190" spans="1:12">
      <c r="A190" s="115" t="s">
        <v>361</v>
      </c>
      <c r="B190" s="116" t="s">
        <v>591</v>
      </c>
      <c r="C190" s="114" t="s">
        <v>396</v>
      </c>
      <c r="D190" s="114" t="s">
        <v>362</v>
      </c>
      <c r="E190" s="114" t="s">
        <v>363</v>
      </c>
      <c r="F190" s="114" t="s">
        <v>364</v>
      </c>
      <c r="G190" s="114" t="s">
        <v>397</v>
      </c>
      <c r="H190" s="114" t="s">
        <v>365</v>
      </c>
      <c r="I190" s="114" t="s">
        <v>398</v>
      </c>
      <c r="J190" s="114" t="s">
        <v>399</v>
      </c>
      <c r="K190" s="114" t="s">
        <v>400</v>
      </c>
      <c r="L190" s="114" t="s">
        <v>401</v>
      </c>
    </row>
    <row r="191" spans="1:12">
      <c r="A191" s="115" t="s">
        <v>366</v>
      </c>
      <c r="B191" s="116" t="s">
        <v>592</v>
      </c>
      <c r="C191" s="114"/>
      <c r="D191" s="114"/>
      <c r="E191" s="114"/>
      <c r="F191" s="114"/>
      <c r="G191" s="114"/>
      <c r="H191" s="114"/>
      <c r="I191" s="114"/>
      <c r="J191" s="114"/>
      <c r="K191" s="114">
        <v>2</v>
      </c>
      <c r="L191" s="114">
        <v>6</v>
      </c>
    </row>
    <row r="192" spans="1:12">
      <c r="A192" s="115" t="s">
        <v>367</v>
      </c>
      <c r="B192" s="116" t="s">
        <v>593</v>
      </c>
      <c r="C192" s="114"/>
      <c r="D192" s="114"/>
      <c r="E192" s="114"/>
      <c r="F192" s="114"/>
      <c r="G192" s="114"/>
      <c r="H192" s="114"/>
      <c r="I192" s="114"/>
      <c r="J192" s="114"/>
      <c r="K192" s="114">
        <v>5.3879310344827585E-4</v>
      </c>
      <c r="L192" s="114">
        <v>1.202645820805773E-3</v>
      </c>
    </row>
    <row r="193" spans="1:12">
      <c r="A193" s="115" t="s">
        <v>368</v>
      </c>
      <c r="B193" s="116" t="s">
        <v>594</v>
      </c>
      <c r="C193" s="114"/>
      <c r="D193" s="114"/>
      <c r="E193" s="114"/>
      <c r="F193" s="114"/>
      <c r="G193" s="114"/>
      <c r="H193" s="114"/>
      <c r="I193" s="114"/>
      <c r="J193" s="114"/>
      <c r="K193" s="114">
        <v>106</v>
      </c>
      <c r="L193" s="114">
        <v>106</v>
      </c>
    </row>
    <row r="194" spans="1:12">
      <c r="A194" s="115" t="s">
        <v>369</v>
      </c>
      <c r="B194" s="116" t="s">
        <v>595</v>
      </c>
      <c r="C194" s="114"/>
      <c r="D194" s="114"/>
      <c r="E194" s="114"/>
      <c r="F194" s="114"/>
      <c r="G194" s="114"/>
      <c r="H194" s="114"/>
      <c r="I194" s="114"/>
      <c r="J194" s="114"/>
      <c r="K194" s="114">
        <v>63.5</v>
      </c>
      <c r="L194" s="114">
        <v>70.5</v>
      </c>
    </row>
    <row r="195" spans="1:12">
      <c r="A195" s="115" t="s">
        <v>370</v>
      </c>
      <c r="B195" s="116" t="s">
        <v>596</v>
      </c>
      <c r="C195" s="114"/>
      <c r="D195" s="114"/>
      <c r="E195" s="114"/>
      <c r="F195" s="114"/>
      <c r="G195" s="114"/>
      <c r="H195" s="114"/>
      <c r="I195" s="114"/>
      <c r="J195" s="114"/>
      <c r="K195" s="114">
        <v>0.59905660377358494</v>
      </c>
      <c r="L195" s="114">
        <v>0.66509433962264153</v>
      </c>
    </row>
    <row r="196" spans="1:12">
      <c r="A196" s="115" t="s">
        <v>371</v>
      </c>
      <c r="B196" s="116" t="s">
        <v>597</v>
      </c>
      <c r="C196" s="114"/>
      <c r="D196" s="114"/>
      <c r="E196" s="114"/>
      <c r="F196" s="114"/>
      <c r="G196" s="114"/>
      <c r="H196" s="114"/>
      <c r="I196" s="114"/>
      <c r="J196" s="114"/>
      <c r="K196" s="114">
        <v>0</v>
      </c>
      <c r="L196" s="114">
        <v>2.8368794326241131E-2</v>
      </c>
    </row>
    <row r="197" spans="1:12">
      <c r="A197" s="115" t="s">
        <v>372</v>
      </c>
      <c r="B197" s="116" t="s">
        <v>598</v>
      </c>
      <c r="C197" s="114"/>
      <c r="D197" s="114"/>
      <c r="E197" s="114"/>
      <c r="F197" s="114"/>
      <c r="G197" s="114"/>
      <c r="H197" s="114"/>
      <c r="I197" s="114"/>
      <c r="J197" s="114"/>
      <c r="K197" s="114">
        <v>0</v>
      </c>
      <c r="L197" s="114">
        <v>2</v>
      </c>
    </row>
    <row r="198" spans="1:12">
      <c r="A198" s="115" t="s">
        <v>373</v>
      </c>
      <c r="B198" s="116" t="s">
        <v>599</v>
      </c>
      <c r="C198" s="114"/>
      <c r="D198" s="114"/>
      <c r="E198" s="114"/>
      <c r="F198" s="114"/>
      <c r="G198" s="114"/>
      <c r="H198" s="114"/>
      <c r="I198" s="114"/>
      <c r="J198" s="114"/>
      <c r="K198" s="114">
        <v>4</v>
      </c>
      <c r="L198" s="114">
        <v>4.5</v>
      </c>
    </row>
    <row r="199" spans="1:12">
      <c r="A199" s="115" t="s">
        <v>374</v>
      </c>
      <c r="B199" s="116" t="s">
        <v>600</v>
      </c>
      <c r="C199" s="114"/>
      <c r="D199" s="114"/>
      <c r="E199" s="114"/>
      <c r="F199" s="114"/>
      <c r="G199" s="114"/>
      <c r="H199" s="114"/>
      <c r="I199" s="114"/>
      <c r="J199" s="114"/>
      <c r="K199" s="114">
        <v>6.2992125984251968E-2</v>
      </c>
      <c r="L199" s="114">
        <v>6.3829787234042548E-2</v>
      </c>
    </row>
    <row r="200" spans="1:12">
      <c r="A200" s="115" t="s">
        <v>375</v>
      </c>
      <c r="B200" s="116" t="s">
        <v>601</v>
      </c>
      <c r="C200" s="114"/>
      <c r="D200" s="114"/>
      <c r="E200" s="114"/>
      <c r="F200" s="114"/>
      <c r="G200" s="114"/>
      <c r="H200" s="114"/>
      <c r="I200" s="114"/>
      <c r="J200" s="114"/>
      <c r="K200" s="114">
        <v>12.3</v>
      </c>
      <c r="L200" s="114">
        <v>12.3</v>
      </c>
    </row>
    <row r="201" spans="1:12">
      <c r="A201" s="115" t="s">
        <v>376</v>
      </c>
      <c r="B201" s="116" t="s">
        <v>602</v>
      </c>
      <c r="C201" s="114"/>
      <c r="D201" s="114"/>
      <c r="E201" s="114"/>
      <c r="F201" s="114"/>
      <c r="G201" s="114"/>
      <c r="H201" s="114"/>
      <c r="I201" s="114"/>
      <c r="J201" s="114"/>
      <c r="K201" s="114">
        <v>110000</v>
      </c>
      <c r="L201" s="114">
        <v>110000</v>
      </c>
    </row>
    <row r="202" spans="1:12">
      <c r="A202" s="115" t="s">
        <v>377</v>
      </c>
      <c r="B202" s="116" t="s">
        <v>603</v>
      </c>
      <c r="C202" s="114"/>
      <c r="D202" s="114"/>
      <c r="E202" s="114"/>
      <c r="F202" s="114"/>
      <c r="G202" s="114"/>
      <c r="H202" s="114"/>
      <c r="I202" s="114"/>
      <c r="J202" s="114"/>
      <c r="K202" s="114">
        <v>0</v>
      </c>
      <c r="L202" s="114">
        <v>0</v>
      </c>
    </row>
    <row r="203" spans="1:12">
      <c r="A203" s="115" t="s">
        <v>378</v>
      </c>
      <c r="B203" s="116" t="s">
        <v>604</v>
      </c>
      <c r="C203" s="114"/>
      <c r="D203" s="114"/>
      <c r="E203" s="114"/>
      <c r="F203" s="114"/>
      <c r="G203" s="114"/>
      <c r="H203" s="114"/>
      <c r="I203" s="114"/>
      <c r="J203" s="114"/>
      <c r="K203" s="114">
        <v>896</v>
      </c>
      <c r="L203" s="114">
        <v>896</v>
      </c>
    </row>
    <row r="204" spans="1:12">
      <c r="A204" s="115" t="s">
        <v>379</v>
      </c>
      <c r="B204" s="116" t="s">
        <v>605</v>
      </c>
      <c r="C204" s="114"/>
      <c r="D204" s="114"/>
      <c r="E204" s="114"/>
      <c r="F204" s="114"/>
      <c r="G204" s="114"/>
      <c r="H204" s="114"/>
      <c r="I204" s="114"/>
      <c r="J204" s="114"/>
      <c r="K204" s="114">
        <v>3600</v>
      </c>
      <c r="L204" s="114">
        <v>4266.666666666667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K27"/>
  <sheetViews>
    <sheetView topLeftCell="B1" workbookViewId="0">
      <selection activeCell="J25" sqref="J25"/>
    </sheetView>
  </sheetViews>
  <sheetFormatPr defaultRowHeight="14"/>
  <cols>
    <col min="1" max="1" width="24.69140625" bestFit="1" customWidth="1"/>
  </cols>
  <sheetData>
    <row r="2" spans="1:11">
      <c r="A2" t="s">
        <v>380</v>
      </c>
      <c r="B2" t="s">
        <v>381</v>
      </c>
    </row>
    <row r="3" spans="1:11">
      <c r="A3" t="s">
        <v>382</v>
      </c>
      <c r="B3">
        <v>2015</v>
      </c>
    </row>
    <row r="4" spans="1:11">
      <c r="A4" t="s">
        <v>383</v>
      </c>
      <c r="B4">
        <v>2024</v>
      </c>
    </row>
    <row r="5" spans="1:11">
      <c r="A5" t="s">
        <v>384</v>
      </c>
      <c r="B5">
        <v>2051</v>
      </c>
    </row>
    <row r="12" spans="1:11">
      <c r="B12" s="104">
        <v>2015</v>
      </c>
      <c r="C12" s="104">
        <v>2016</v>
      </c>
      <c r="D12" s="104">
        <v>2017</v>
      </c>
      <c r="E12" s="104">
        <v>2018</v>
      </c>
      <c r="F12" s="104">
        <v>2019</v>
      </c>
      <c r="G12" s="104">
        <v>2020</v>
      </c>
      <c r="H12" s="104">
        <v>2021</v>
      </c>
      <c r="I12" s="104">
        <v>2022</v>
      </c>
      <c r="J12" s="104">
        <v>2023</v>
      </c>
      <c r="K12" s="104">
        <v>2024</v>
      </c>
    </row>
    <row r="13" spans="1:11">
      <c r="A13" s="104" t="s">
        <v>225</v>
      </c>
      <c r="B13" t="b">
        <v>0</v>
      </c>
      <c r="C13" t="b">
        <v>0</v>
      </c>
      <c r="D13" t="b">
        <v>0</v>
      </c>
      <c r="E13" s="107" t="b">
        <v>1</v>
      </c>
      <c r="F13" s="107" t="b">
        <v>1</v>
      </c>
      <c r="G13" t="b">
        <v>0</v>
      </c>
      <c r="H13" t="b">
        <v>0</v>
      </c>
      <c r="I13" t="b">
        <v>0</v>
      </c>
      <c r="J13" t="b">
        <v>0</v>
      </c>
      <c r="K13" s="107" t="b">
        <v>1</v>
      </c>
    </row>
    <row r="14" spans="1:11">
      <c r="A14" s="104" t="s">
        <v>226</v>
      </c>
      <c r="B14" t="b">
        <v>0</v>
      </c>
      <c r="C14" t="b">
        <v>0</v>
      </c>
      <c r="D14" t="b">
        <v>0</v>
      </c>
      <c r="E14" s="107" t="b">
        <v>1</v>
      </c>
      <c r="F14" s="107" t="b">
        <v>1</v>
      </c>
      <c r="G14" t="b">
        <v>0</v>
      </c>
      <c r="H14" t="b">
        <v>0</v>
      </c>
      <c r="I14" t="b">
        <v>0</v>
      </c>
      <c r="J14" t="b">
        <v>0</v>
      </c>
      <c r="K14" s="107" t="b">
        <v>1</v>
      </c>
    </row>
    <row r="15" spans="1:11">
      <c r="A15" s="104" t="s">
        <v>227</v>
      </c>
      <c r="B15" t="b">
        <v>0</v>
      </c>
      <c r="C15" t="b">
        <v>0</v>
      </c>
      <c r="D15" t="b">
        <v>0</v>
      </c>
      <c r="E15" s="107" t="b">
        <v>1</v>
      </c>
      <c r="F15" s="107" t="b">
        <v>1</v>
      </c>
      <c r="G15" t="b">
        <v>0</v>
      </c>
      <c r="H15" t="b">
        <v>0</v>
      </c>
      <c r="I15" t="b">
        <v>0</v>
      </c>
      <c r="J15" t="b">
        <v>0</v>
      </c>
      <c r="K15" s="107" t="b">
        <v>1</v>
      </c>
    </row>
    <row r="16" spans="1:11">
      <c r="A16" s="104" t="s">
        <v>228</v>
      </c>
      <c r="B16" t="b">
        <v>0</v>
      </c>
      <c r="C16" t="b">
        <v>0</v>
      </c>
      <c r="D16" t="b">
        <v>0</v>
      </c>
      <c r="E16" s="107" t="b">
        <v>1</v>
      </c>
      <c r="F16" s="107" t="b">
        <v>1</v>
      </c>
      <c r="G16" t="b">
        <v>0</v>
      </c>
      <c r="H16" t="b">
        <v>0</v>
      </c>
      <c r="I16" t="b">
        <v>0</v>
      </c>
      <c r="J16" t="b">
        <v>0</v>
      </c>
      <c r="K16" s="107" t="b">
        <v>1</v>
      </c>
    </row>
    <row r="17" spans="1:11">
      <c r="A17" s="104" t="s">
        <v>229</v>
      </c>
      <c r="B17" t="b">
        <v>0</v>
      </c>
      <c r="C17" t="b">
        <v>0</v>
      </c>
      <c r="D17" t="b">
        <v>0</v>
      </c>
      <c r="E17" s="107" t="b">
        <v>1</v>
      </c>
      <c r="F17" s="107" t="b">
        <v>1</v>
      </c>
      <c r="G17" t="b">
        <v>0</v>
      </c>
      <c r="H17" t="b">
        <v>0</v>
      </c>
      <c r="I17" t="b">
        <v>0</v>
      </c>
      <c r="J17" t="b">
        <v>0</v>
      </c>
      <c r="K17" s="107" t="b">
        <v>1</v>
      </c>
    </row>
    <row r="18" spans="1:11">
      <c r="A18" s="104" t="s">
        <v>230</v>
      </c>
      <c r="B18" t="b">
        <v>0</v>
      </c>
      <c r="C18" t="b">
        <v>0</v>
      </c>
      <c r="D18" t="b">
        <v>0</v>
      </c>
      <c r="E18" s="107" t="b">
        <v>1</v>
      </c>
      <c r="F18" s="107" t="b">
        <v>1</v>
      </c>
      <c r="G18" t="b">
        <v>0</v>
      </c>
      <c r="H18" t="b">
        <v>0</v>
      </c>
      <c r="I18" t="b">
        <v>0</v>
      </c>
      <c r="J18" t="b">
        <v>0</v>
      </c>
      <c r="K18" s="107" t="b">
        <v>1</v>
      </c>
    </row>
    <row r="19" spans="1:11">
      <c r="A19" s="104" t="s">
        <v>231</v>
      </c>
      <c r="B19" t="b">
        <v>0</v>
      </c>
      <c r="C19" t="b">
        <v>0</v>
      </c>
      <c r="D19" t="b">
        <v>0</v>
      </c>
      <c r="E19" s="107" t="b">
        <v>1</v>
      </c>
      <c r="F19" s="107" t="b">
        <v>1</v>
      </c>
      <c r="G19" t="b">
        <v>0</v>
      </c>
      <c r="H19" t="b">
        <v>0</v>
      </c>
      <c r="I19" t="b">
        <v>0</v>
      </c>
      <c r="J19" t="b">
        <v>0</v>
      </c>
      <c r="K19" s="107" t="b">
        <v>1</v>
      </c>
    </row>
    <row r="20" spans="1:11">
      <c r="A20" s="104" t="s">
        <v>232</v>
      </c>
      <c r="B20" t="b">
        <v>0</v>
      </c>
      <c r="C20" t="b">
        <v>0</v>
      </c>
      <c r="D20" t="b">
        <v>0</v>
      </c>
      <c r="E20" s="107" t="b">
        <v>1</v>
      </c>
      <c r="F20" s="107" t="b">
        <v>1</v>
      </c>
      <c r="G20" t="b">
        <v>0</v>
      </c>
      <c r="H20" t="b">
        <v>0</v>
      </c>
      <c r="I20" t="b">
        <v>0</v>
      </c>
      <c r="J20" t="b">
        <v>0</v>
      </c>
      <c r="K20" s="107" t="b">
        <v>1</v>
      </c>
    </row>
    <row r="21" spans="1:11">
      <c r="A21" s="104" t="s">
        <v>233</v>
      </c>
      <c r="B21" t="b">
        <v>0</v>
      </c>
      <c r="C21" t="b">
        <v>0</v>
      </c>
      <c r="D21" t="b">
        <v>0</v>
      </c>
      <c r="E21" s="107" t="b">
        <v>1</v>
      </c>
      <c r="F21" s="107" t="b">
        <v>1</v>
      </c>
      <c r="G21" t="b">
        <v>0</v>
      </c>
      <c r="H21" t="b">
        <v>0</v>
      </c>
      <c r="I21" t="b">
        <v>0</v>
      </c>
      <c r="J21" t="b">
        <v>0</v>
      </c>
      <c r="K21" s="107" t="b">
        <v>1</v>
      </c>
    </row>
    <row r="22" spans="1:11">
      <c r="A22" s="104" t="s">
        <v>234</v>
      </c>
      <c r="B22" t="b">
        <v>0</v>
      </c>
      <c r="C22" t="b">
        <v>0</v>
      </c>
      <c r="D22" t="b">
        <v>0</v>
      </c>
      <c r="E22" s="107" t="b">
        <v>1</v>
      </c>
      <c r="F22" s="107" t="b">
        <v>1</v>
      </c>
      <c r="G22" t="b">
        <v>0</v>
      </c>
      <c r="H22" t="b">
        <v>0</v>
      </c>
      <c r="I22" t="b">
        <v>0</v>
      </c>
      <c r="J22" t="b">
        <v>0</v>
      </c>
      <c r="K22" s="107" t="b">
        <v>1</v>
      </c>
    </row>
    <row r="23" spans="1:11">
      <c r="A23" s="104" t="s">
        <v>235</v>
      </c>
      <c r="B23" t="b">
        <v>0</v>
      </c>
      <c r="C23" t="b">
        <v>0</v>
      </c>
      <c r="D23" t="b">
        <v>0</v>
      </c>
      <c r="E23" s="107" t="b">
        <v>1</v>
      </c>
      <c r="F23" s="107" t="b">
        <v>1</v>
      </c>
      <c r="G23" t="b">
        <v>0</v>
      </c>
      <c r="H23" t="b">
        <v>0</v>
      </c>
      <c r="I23" t="b">
        <v>0</v>
      </c>
      <c r="J23" t="b">
        <v>0</v>
      </c>
      <c r="K23" s="107" t="b">
        <v>1</v>
      </c>
    </row>
    <row r="24" spans="1:11">
      <c r="A24" s="104" t="s">
        <v>236</v>
      </c>
      <c r="B24" t="b">
        <v>0</v>
      </c>
      <c r="C24" t="b">
        <v>0</v>
      </c>
      <c r="D24" t="b">
        <v>0</v>
      </c>
      <c r="E24" s="107" t="b">
        <v>1</v>
      </c>
      <c r="F24" s="107" t="b">
        <v>1</v>
      </c>
      <c r="G24" t="b">
        <v>0</v>
      </c>
      <c r="H24" t="b">
        <v>0</v>
      </c>
      <c r="I24" t="b">
        <v>0</v>
      </c>
      <c r="J24" t="b">
        <v>0</v>
      </c>
      <c r="K24" s="107" t="b">
        <v>1</v>
      </c>
    </row>
    <row r="25" spans="1:11">
      <c r="A25" s="104" t="s">
        <v>237</v>
      </c>
      <c r="B25" s="107" t="b">
        <v>1</v>
      </c>
      <c r="C25" s="107" t="b">
        <v>1</v>
      </c>
      <c r="D25" t="b">
        <v>0</v>
      </c>
      <c r="E25" s="107" t="b">
        <v>1</v>
      </c>
      <c r="F25" s="107" t="b">
        <v>1</v>
      </c>
      <c r="G25" t="b">
        <v>0</v>
      </c>
      <c r="H25" t="b">
        <v>0</v>
      </c>
      <c r="I25" t="b">
        <v>0</v>
      </c>
      <c r="J25" t="b">
        <v>0</v>
      </c>
      <c r="K25" s="107" t="b">
        <v>1</v>
      </c>
    </row>
    <row r="26" spans="1:11">
      <c r="A26" s="104" t="s">
        <v>238</v>
      </c>
      <c r="B26" t="b">
        <v>0</v>
      </c>
      <c r="C26" t="b">
        <v>0</v>
      </c>
      <c r="D26" t="b">
        <v>0</v>
      </c>
      <c r="E26" s="107" t="b">
        <v>1</v>
      </c>
      <c r="F26" s="107" t="b">
        <v>1</v>
      </c>
      <c r="G26" t="b">
        <v>0</v>
      </c>
      <c r="H26" t="b">
        <v>0</v>
      </c>
      <c r="I26" t="b">
        <v>0</v>
      </c>
      <c r="J26" t="b">
        <v>0</v>
      </c>
      <c r="K26" s="107" t="b">
        <v>1</v>
      </c>
    </row>
    <row r="27" spans="1:11">
      <c r="A27" s="104" t="s">
        <v>239</v>
      </c>
      <c r="B27" t="b">
        <v>0</v>
      </c>
      <c r="C27" t="b">
        <v>0</v>
      </c>
      <c r="D27" t="b">
        <v>0</v>
      </c>
      <c r="E27" s="107" t="b">
        <v>1</v>
      </c>
      <c r="F27" s="107" t="b">
        <v>1</v>
      </c>
      <c r="G27" t="b">
        <v>0</v>
      </c>
      <c r="H27" t="b">
        <v>0</v>
      </c>
      <c r="I27" t="b">
        <v>0</v>
      </c>
      <c r="J27" t="b">
        <v>0</v>
      </c>
      <c r="K27" s="107" t="b">
        <v>1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7"/>
  <sheetViews>
    <sheetView zoomScale="145" zoomScaleNormal="145" workbookViewId="0"/>
  </sheetViews>
  <sheetFormatPr defaultRowHeight="14"/>
  <cols>
    <col min="2" max="2" width="13" bestFit="1" customWidth="1"/>
    <col min="3" max="3" width="20.84375" bestFit="1" customWidth="1"/>
    <col min="4" max="4" width="8.23046875" bestFit="1" customWidth="1"/>
    <col min="5" max="5" width="9.4609375" customWidth="1"/>
    <col min="8" max="8" width="9.921875" bestFit="1" customWidth="1"/>
  </cols>
  <sheetData>
    <row r="1" spans="1:8">
      <c r="B1" s="104" t="s">
        <v>387</v>
      </c>
      <c r="C1" s="104" t="s">
        <v>388</v>
      </c>
      <c r="D1" s="104" t="s">
        <v>389</v>
      </c>
      <c r="E1" s="104" t="s">
        <v>385</v>
      </c>
    </row>
    <row r="2" spans="1:8">
      <c r="A2" s="104">
        <v>2015</v>
      </c>
      <c r="B2">
        <v>7463.5</v>
      </c>
      <c r="C2">
        <v>21015278</v>
      </c>
      <c r="D2">
        <v>0</v>
      </c>
      <c r="E2">
        <v>317549</v>
      </c>
      <c r="F2" s="111">
        <v>7463.5</v>
      </c>
    </row>
    <row r="3" spans="1:8">
      <c r="A3" s="104">
        <v>2016</v>
      </c>
      <c r="B3">
        <v>7767.8</v>
      </c>
      <c r="C3">
        <v>21308256</v>
      </c>
      <c r="D3">
        <v>0</v>
      </c>
      <c r="E3">
        <v>296385</v>
      </c>
      <c r="F3" s="111">
        <f>F2*1.035</f>
        <v>7724.7224999999999</v>
      </c>
    </row>
    <row r="4" spans="1:8">
      <c r="A4" s="104">
        <v>2017</v>
      </c>
      <c r="B4">
        <v>7971.6</v>
      </c>
      <c r="C4">
        <v>21583420</v>
      </c>
      <c r="D4">
        <v>0</v>
      </c>
      <c r="E4">
        <v>300529</v>
      </c>
      <c r="F4" s="111">
        <f t="shared" ref="F4:F22" si="0">F3*1.035</f>
        <v>7995.0877874999996</v>
      </c>
      <c r="H4">
        <f>4.5/3.5</f>
        <v>1.2857142857142858</v>
      </c>
    </row>
    <row r="5" spans="1:8">
      <c r="A5" s="104">
        <v>2018</v>
      </c>
      <c r="B5">
        <v>8276.6</v>
      </c>
      <c r="C5">
        <v>21843170</v>
      </c>
      <c r="D5">
        <v>0</v>
      </c>
      <c r="E5">
        <v>360857</v>
      </c>
      <c r="F5" s="111">
        <f t="shared" si="0"/>
        <v>8274.9158600624996</v>
      </c>
    </row>
    <row r="6" spans="1:8">
      <c r="A6" s="104">
        <v>2019</v>
      </c>
      <c r="B6">
        <v>8678.6</v>
      </c>
      <c r="C6">
        <v>22105578</v>
      </c>
      <c r="D6">
        <v>0</v>
      </c>
      <c r="E6">
        <v>427585</v>
      </c>
      <c r="F6" s="111">
        <f t="shared" si="0"/>
        <v>8564.5379151646866</v>
      </c>
    </row>
    <row r="7" spans="1:8">
      <c r="A7" s="104">
        <v>2020</v>
      </c>
      <c r="B7">
        <v>8645.2999999999993</v>
      </c>
      <c r="C7">
        <v>22374882</v>
      </c>
      <c r="D7">
        <v>1</v>
      </c>
      <c r="E7">
        <v>119957</v>
      </c>
      <c r="F7" s="111">
        <f t="shared" si="0"/>
        <v>8864.2967421954509</v>
      </c>
    </row>
    <row r="8" spans="1:8">
      <c r="A8" s="104">
        <v>2021</v>
      </c>
      <c r="B8">
        <v>9163.2999999999993</v>
      </c>
      <c r="C8">
        <v>22676383</v>
      </c>
      <c r="D8">
        <v>0.2</v>
      </c>
      <c r="E8">
        <v>336251</v>
      </c>
      <c r="F8" s="111">
        <f t="shared" si="0"/>
        <v>9174.5471281722912</v>
      </c>
    </row>
    <row r="9" spans="1:8">
      <c r="A9" s="104">
        <v>2022</v>
      </c>
      <c r="B9">
        <v>9517</v>
      </c>
      <c r="C9">
        <v>23047260</v>
      </c>
      <c r="D9">
        <v>0.2</v>
      </c>
      <c r="E9">
        <v>503019</v>
      </c>
      <c r="F9" s="111">
        <f t="shared" si="0"/>
        <v>9495.6562776583214</v>
      </c>
    </row>
    <row r="10" spans="1:8">
      <c r="A10" s="104">
        <v>2023</v>
      </c>
      <c r="B10">
        <v>9904.2000000000007</v>
      </c>
      <c r="C10">
        <v>23479159</v>
      </c>
      <c r="D10">
        <v>0</v>
      </c>
      <c r="E10">
        <v>493899</v>
      </c>
      <c r="F10" s="111">
        <f t="shared" si="0"/>
        <v>9828.0042473763624</v>
      </c>
    </row>
    <row r="11" spans="1:8">
      <c r="A11" s="104">
        <v>2024</v>
      </c>
      <c r="B11">
        <v>10204.9</v>
      </c>
      <c r="C11">
        <v>23785528</v>
      </c>
      <c r="D11">
        <v>0</v>
      </c>
      <c r="E11">
        <v>601405</v>
      </c>
      <c r="F11" s="111">
        <f t="shared" si="0"/>
        <v>10171.984396034535</v>
      </c>
    </row>
    <row r="12" spans="1:8">
      <c r="A12" s="104">
        <v>2025</v>
      </c>
      <c r="B12">
        <v>10565.6</v>
      </c>
      <c r="C12">
        <v>24088446</v>
      </c>
      <c r="D12">
        <v>0</v>
      </c>
      <c r="E12">
        <v>609581</v>
      </c>
      <c r="F12" s="111">
        <f t="shared" si="0"/>
        <v>10528.003849895744</v>
      </c>
    </row>
    <row r="13" spans="1:8">
      <c r="A13" s="104">
        <v>2026</v>
      </c>
      <c r="B13">
        <v>10937.7</v>
      </c>
      <c r="C13">
        <v>24377779</v>
      </c>
      <c r="D13">
        <v>0</v>
      </c>
      <c r="E13">
        <v>658766</v>
      </c>
      <c r="F13" s="111">
        <f t="shared" si="0"/>
        <v>10896.483984642095</v>
      </c>
    </row>
    <row r="14" spans="1:8">
      <c r="A14" s="104">
        <v>2027</v>
      </c>
      <c r="B14">
        <v>11323.4</v>
      </c>
      <c r="C14">
        <v>24661828</v>
      </c>
      <c r="D14">
        <v>0</v>
      </c>
      <c r="E14">
        <v>711583</v>
      </c>
      <c r="F14" s="111">
        <f t="shared" si="0"/>
        <v>11277.860924104567</v>
      </c>
    </row>
    <row r="15" spans="1:8">
      <c r="A15" s="104">
        <v>2028</v>
      </c>
      <c r="B15">
        <v>11722.9</v>
      </c>
      <c r="C15">
        <v>24959387</v>
      </c>
      <c r="D15">
        <v>0</v>
      </c>
      <c r="E15">
        <v>765903</v>
      </c>
      <c r="F15" s="111">
        <f t="shared" si="0"/>
        <v>11672.586056448226</v>
      </c>
    </row>
    <row r="16" spans="1:8">
      <c r="A16" s="104">
        <v>2029</v>
      </c>
      <c r="B16">
        <v>12136.5</v>
      </c>
      <c r="C16">
        <v>25279029</v>
      </c>
      <c r="D16">
        <v>0</v>
      </c>
      <c r="E16">
        <v>820800</v>
      </c>
      <c r="F16" s="111">
        <f t="shared" si="0"/>
        <v>12081.126568423913</v>
      </c>
    </row>
    <row r="17" spans="1:6">
      <c r="A17" s="104">
        <v>2030</v>
      </c>
      <c r="B17">
        <v>12516.46776172229</v>
      </c>
      <c r="C17">
        <v>25616273</v>
      </c>
      <c r="D17">
        <v>0</v>
      </c>
      <c r="E17">
        <v>866188</v>
      </c>
      <c r="F17" s="111">
        <f t="shared" si="0"/>
        <v>12503.965998318748</v>
      </c>
    </row>
    <row r="18" spans="1:6">
      <c r="A18" s="104">
        <v>2031</v>
      </c>
      <c r="B18">
        <v>12898.533086527879</v>
      </c>
      <c r="C18">
        <v>25961190</v>
      </c>
      <c r="D18">
        <v>0</v>
      </c>
      <c r="E18">
        <v>911155</v>
      </c>
      <c r="F18" s="111">
        <f t="shared" si="0"/>
        <v>12941.604808259905</v>
      </c>
    </row>
    <row r="19" spans="1:6">
      <c r="A19" s="104">
        <v>2032</v>
      </c>
      <c r="B19">
        <v>13285.14098659977</v>
      </c>
      <c r="C19">
        <v>26309339</v>
      </c>
      <c r="D19">
        <v>0</v>
      </c>
      <c r="E19">
        <v>956757</v>
      </c>
      <c r="F19" s="111">
        <f t="shared" si="0"/>
        <v>13394.560976549001</v>
      </c>
    </row>
    <row r="20" spans="1:6">
      <c r="A20" s="104">
        <v>2033</v>
      </c>
      <c r="B20">
        <v>13676.651779522819</v>
      </c>
      <c r="C20">
        <v>26685851</v>
      </c>
      <c r="D20">
        <v>0</v>
      </c>
      <c r="E20">
        <v>1000167</v>
      </c>
      <c r="F20" s="111">
        <f t="shared" si="0"/>
        <v>13863.370610728214</v>
      </c>
    </row>
    <row r="21" spans="1:6">
      <c r="A21" s="104">
        <v>2034</v>
      </c>
      <c r="B21">
        <v>14073.258492574631</v>
      </c>
      <c r="C21">
        <v>27095922</v>
      </c>
      <c r="D21">
        <v>0</v>
      </c>
      <c r="E21">
        <v>1040826</v>
      </c>
      <c r="F21" s="111">
        <f t="shared" si="0"/>
        <v>14348.588582103701</v>
      </c>
    </row>
    <row r="22" spans="1:6">
      <c r="A22" s="104">
        <v>2035</v>
      </c>
      <c r="B22">
        <v>14475.11554757729</v>
      </c>
      <c r="C22">
        <v>27524241</v>
      </c>
      <c r="D22">
        <v>0</v>
      </c>
      <c r="E22">
        <v>1080539</v>
      </c>
      <c r="F22" s="111">
        <f t="shared" si="0"/>
        <v>14850.789182477329</v>
      </c>
    </row>
    <row r="23" spans="1:6">
      <c r="A23" s="104">
        <v>2036</v>
      </c>
      <c r="B23">
        <v>14881.778981792309</v>
      </c>
      <c r="C23">
        <v>27944126</v>
      </c>
      <c r="D23">
        <v>0</v>
      </c>
      <c r="E23">
        <v>1122296</v>
      </c>
      <c r="F23">
        <f t="shared" ref="F23:F47" si="1">F22*1.03</f>
        <v>15296.312857951649</v>
      </c>
    </row>
    <row r="24" spans="1:6">
      <c r="A24" s="104">
        <v>2037</v>
      </c>
      <c r="B24">
        <v>15293.486862195399</v>
      </c>
      <c r="C24">
        <v>28325367</v>
      </c>
      <c r="D24">
        <v>0</v>
      </c>
      <c r="E24">
        <v>1169645</v>
      </c>
      <c r="F24">
        <f t="shared" si="1"/>
        <v>15755.202243690199</v>
      </c>
    </row>
    <row r="25" spans="1:6">
      <c r="A25" s="104">
        <v>2038</v>
      </c>
      <c r="B25">
        <v>15709.814528775831</v>
      </c>
      <c r="C25">
        <v>28673129</v>
      </c>
      <c r="D25">
        <v>0</v>
      </c>
      <c r="E25">
        <v>1221895</v>
      </c>
      <c r="F25">
        <f t="shared" si="1"/>
        <v>16227.858311000906</v>
      </c>
    </row>
    <row r="26" spans="1:6">
      <c r="A26" s="104">
        <v>2039</v>
      </c>
      <c r="B26">
        <v>16130.78771850394</v>
      </c>
      <c r="C26">
        <v>28986910</v>
      </c>
      <c r="D26">
        <v>0</v>
      </c>
      <c r="E26">
        <v>1279108</v>
      </c>
      <c r="F26">
        <f t="shared" si="1"/>
        <v>16714.694060330934</v>
      </c>
    </row>
    <row r="27" spans="1:6">
      <c r="A27" s="104">
        <v>2040</v>
      </c>
      <c r="B27">
        <v>16556.850394118239</v>
      </c>
      <c r="C27">
        <v>29268069</v>
      </c>
      <c r="D27">
        <v>0</v>
      </c>
      <c r="E27">
        <v>1341226</v>
      </c>
      <c r="F27">
        <f t="shared" si="1"/>
        <v>17216.134882140861</v>
      </c>
    </row>
    <row r="28" spans="1:6">
      <c r="A28" s="104">
        <v>2041</v>
      </c>
      <c r="B28">
        <v>16987.700146217121</v>
      </c>
      <c r="C28">
        <v>29520378</v>
      </c>
      <c r="D28">
        <v>0</v>
      </c>
      <c r="E28">
        <v>1407746</v>
      </c>
      <c r="F28">
        <f t="shared" si="1"/>
        <v>17732.618928605087</v>
      </c>
    </row>
    <row r="29" spans="1:6">
      <c r="A29" s="104">
        <v>2042</v>
      </c>
      <c r="B29">
        <v>17422.770761452972</v>
      </c>
      <c r="C29">
        <v>29747651</v>
      </c>
      <c r="D29">
        <v>0</v>
      </c>
      <c r="E29">
        <v>1478100</v>
      </c>
      <c r="F29">
        <f t="shared" si="1"/>
        <v>18264.597496463241</v>
      </c>
    </row>
    <row r="30" spans="1:6">
      <c r="A30" s="104">
        <v>2043</v>
      </c>
      <c r="B30">
        <v>17861.888515275921</v>
      </c>
      <c r="C30">
        <v>29957984</v>
      </c>
      <c r="D30">
        <v>0</v>
      </c>
      <c r="E30">
        <v>1551314</v>
      </c>
      <c r="F30">
        <f t="shared" si="1"/>
        <v>18812.535421357137</v>
      </c>
    </row>
    <row r="31" spans="1:6">
      <c r="A31" s="104">
        <v>2044</v>
      </c>
      <c r="B31">
        <v>18305.278606176529</v>
      </c>
      <c r="C31">
        <v>30152252</v>
      </c>
      <c r="D31">
        <v>0</v>
      </c>
      <c r="E31">
        <v>1627335</v>
      </c>
      <c r="F31">
        <f t="shared" si="1"/>
        <v>19376.91148399785</v>
      </c>
    </row>
    <row r="32" spans="1:6">
      <c r="A32" s="104">
        <v>2045</v>
      </c>
      <c r="B32">
        <v>18752.03380595005</v>
      </c>
      <c r="C32">
        <v>30331171</v>
      </c>
      <c r="D32">
        <v>0</v>
      </c>
      <c r="E32">
        <v>1705880</v>
      </c>
      <c r="F32">
        <f t="shared" si="1"/>
        <v>19958.218828517787</v>
      </c>
    </row>
    <row r="33" spans="1:8">
      <c r="A33" s="104">
        <v>2046</v>
      </c>
      <c r="B33">
        <v>19201.903179135588</v>
      </c>
      <c r="C33">
        <v>30496862</v>
      </c>
      <c r="D33">
        <v>0</v>
      </c>
      <c r="E33">
        <v>1786647</v>
      </c>
      <c r="F33">
        <f t="shared" si="1"/>
        <v>20556.965393373321</v>
      </c>
    </row>
    <row r="34" spans="1:8">
      <c r="A34" s="104">
        <v>2047</v>
      </c>
      <c r="B34">
        <v>19655.13766119404</v>
      </c>
      <c r="C34">
        <v>30646766</v>
      </c>
      <c r="D34">
        <v>0</v>
      </c>
      <c r="E34">
        <v>1869989</v>
      </c>
      <c r="F34">
        <f t="shared" si="1"/>
        <v>21173.67435517452</v>
      </c>
    </row>
    <row r="35" spans="1:8">
      <c r="A35" s="104">
        <v>2048</v>
      </c>
      <c r="B35">
        <v>20112.26486001752</v>
      </c>
      <c r="C35">
        <v>30780869</v>
      </c>
      <c r="D35">
        <v>0</v>
      </c>
      <c r="E35">
        <v>1956024</v>
      </c>
      <c r="F35">
        <f t="shared" si="1"/>
        <v>21808.884585829757</v>
      </c>
    </row>
    <row r="36" spans="1:8">
      <c r="A36" s="104">
        <v>2049</v>
      </c>
      <c r="B36">
        <v>20574.02471350351</v>
      </c>
      <c r="C36">
        <v>30897564</v>
      </c>
      <c r="D36">
        <v>0</v>
      </c>
      <c r="E36">
        <v>2045102</v>
      </c>
      <c r="F36">
        <f t="shared" si="1"/>
        <v>22463.151123404652</v>
      </c>
    </row>
    <row r="37" spans="1:8">
      <c r="A37" s="104">
        <v>2050</v>
      </c>
      <c r="B37">
        <v>21041.453134708489</v>
      </c>
      <c r="C37">
        <v>30996102</v>
      </c>
      <c r="D37">
        <v>0</v>
      </c>
      <c r="E37">
        <v>2137540</v>
      </c>
      <c r="F37">
        <f t="shared" si="1"/>
        <v>23137.045657106792</v>
      </c>
    </row>
    <row r="38" spans="1:8">
      <c r="A38" s="104">
        <v>2051</v>
      </c>
      <c r="B38">
        <v>21515.187113648561</v>
      </c>
      <c r="C38">
        <v>31094954.255759578</v>
      </c>
      <c r="D38">
        <v>0</v>
      </c>
      <c r="E38">
        <v>2231342</v>
      </c>
      <c r="F38">
        <f t="shared" si="1"/>
        <v>23831.157026819998</v>
      </c>
    </row>
    <row r="39" spans="1:8">
      <c r="A39" s="104">
        <v>2052</v>
      </c>
      <c r="B39">
        <v>21996.571407024359</v>
      </c>
      <c r="C39">
        <v>31194121.769498009</v>
      </c>
      <c r="D39">
        <v>0</v>
      </c>
      <c r="E39">
        <v>2326808</v>
      </c>
      <c r="F39">
        <f t="shared" si="1"/>
        <v>24546.0917376246</v>
      </c>
    </row>
    <row r="40" spans="1:8">
      <c r="A40" s="104">
        <v>2053</v>
      </c>
      <c r="B40">
        <v>22486.140056970598</v>
      </c>
      <c r="C40">
        <v>31293605.54663083</v>
      </c>
      <c r="D40">
        <v>0</v>
      </c>
      <c r="E40">
        <v>2424055</v>
      </c>
      <c r="F40">
        <f t="shared" si="1"/>
        <v>25282.474489753338</v>
      </c>
    </row>
    <row r="41" spans="1:8">
      <c r="A41" s="104">
        <v>2054</v>
      </c>
      <c r="B41">
        <v>22985.752559594879</v>
      </c>
      <c r="C41">
        <v>31393406.59578</v>
      </c>
      <c r="D41">
        <v>0</v>
      </c>
      <c r="E41">
        <v>2523497</v>
      </c>
      <c r="F41">
        <f t="shared" si="1"/>
        <v>26040.948724445938</v>
      </c>
      <c r="H41">
        <f>E41*1.3</f>
        <v>3280546.1</v>
      </c>
    </row>
    <row r="42" spans="1:8">
      <c r="A42" s="104">
        <v>2055</v>
      </c>
      <c r="B42">
        <v>23496.226063705712</v>
      </c>
      <c r="C42">
        <v>31493525.928784221</v>
      </c>
      <c r="D42">
        <v>0</v>
      </c>
      <c r="E42">
        <v>2625315</v>
      </c>
      <c r="F42">
        <f t="shared" si="1"/>
        <v>26822.177186179317</v>
      </c>
    </row>
    <row r="43" spans="1:8">
      <c r="A43" s="104">
        <v>2056</v>
      </c>
      <c r="B43">
        <v>24019.143392979458</v>
      </c>
      <c r="C43">
        <v>31593964.56070907</v>
      </c>
      <c r="D43">
        <v>0</v>
      </c>
      <c r="E43">
        <v>2729860</v>
      </c>
      <c r="F43">
        <f t="shared" si="1"/>
        <v>27626.842501764699</v>
      </c>
    </row>
    <row r="44" spans="1:8">
      <c r="A44" s="104">
        <v>2057</v>
      </c>
      <c r="B44">
        <v>24555.920080785221</v>
      </c>
      <c r="C44">
        <v>31694723.509857401</v>
      </c>
      <c r="D44">
        <v>0</v>
      </c>
      <c r="E44">
        <v>2837447</v>
      </c>
      <c r="F44">
        <f t="shared" si="1"/>
        <v>28455.647776817641</v>
      </c>
    </row>
    <row r="45" spans="1:8">
      <c r="A45" s="104">
        <v>2058</v>
      </c>
      <c r="B45">
        <v>25106.678377732169</v>
      </c>
      <c r="C45">
        <v>31795803.79777959</v>
      </c>
      <c r="D45">
        <v>0</v>
      </c>
      <c r="E45">
        <v>2948103</v>
      </c>
      <c r="F45">
        <f t="shared" si="1"/>
        <v>29309.317210122172</v>
      </c>
    </row>
    <row r="46" spans="1:8">
      <c r="A46" s="104">
        <v>2059</v>
      </c>
      <c r="B46">
        <v>25670.272988639808</v>
      </c>
      <c r="C46">
        <v>31897206.44928395</v>
      </c>
      <c r="D46">
        <v>0</v>
      </c>
      <c r="E46">
        <v>3061573</v>
      </c>
      <c r="F46">
        <f t="shared" si="1"/>
        <v>30188.596726425836</v>
      </c>
    </row>
    <row r="47" spans="1:8">
      <c r="A47" s="104">
        <v>2060</v>
      </c>
      <c r="B47">
        <v>26246.768255934039</v>
      </c>
      <c r="C47">
        <v>31998932.492447071</v>
      </c>
      <c r="D47">
        <v>0</v>
      </c>
      <c r="E47">
        <v>3177872</v>
      </c>
      <c r="F47">
        <f t="shared" si="1"/>
        <v>31094.254628218612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39"/>
  <sheetViews>
    <sheetView zoomScale="145" zoomScaleNormal="145" workbookViewId="0">
      <selection activeCell="E39" sqref="E39"/>
    </sheetView>
  </sheetViews>
  <sheetFormatPr defaultRowHeight="14"/>
  <cols>
    <col min="2" max="2" width="10.07421875" customWidth="1"/>
    <col min="3" max="3" width="11.84375" bestFit="1" customWidth="1"/>
    <col min="4" max="4" width="12.53515625" bestFit="1" customWidth="1"/>
    <col min="5" max="5" width="11.23046875" bestFit="1" customWidth="1"/>
  </cols>
  <sheetData>
    <row r="1" spans="1:5">
      <c r="B1" s="104" t="s">
        <v>390</v>
      </c>
      <c r="C1" s="104" t="s">
        <v>391</v>
      </c>
      <c r="D1" s="104" t="s">
        <v>392</v>
      </c>
      <c r="E1" s="104" t="s">
        <v>386</v>
      </c>
    </row>
    <row r="2" spans="1:5">
      <c r="A2" s="104">
        <v>2015</v>
      </c>
      <c r="B2">
        <v>317549</v>
      </c>
      <c r="C2">
        <v>4274801</v>
      </c>
      <c r="D2">
        <v>7.4283925731279649E-2</v>
      </c>
      <c r="E2">
        <v>317549</v>
      </c>
    </row>
    <row r="3" spans="1:5">
      <c r="A3" s="104">
        <v>2016</v>
      </c>
      <c r="B3">
        <v>296385</v>
      </c>
      <c r="C3">
        <v>4015174</v>
      </c>
      <c r="D3">
        <v>7.3816228138556386E-2</v>
      </c>
      <c r="E3">
        <v>296385</v>
      </c>
    </row>
    <row r="4" spans="1:5">
      <c r="A4" s="104">
        <v>2017</v>
      </c>
      <c r="B4">
        <v>300529</v>
      </c>
      <c r="C4">
        <v>4344127</v>
      </c>
      <c r="D4">
        <v>6.9180528101503477E-2</v>
      </c>
      <c r="E4">
        <v>300529</v>
      </c>
    </row>
    <row r="5" spans="1:5">
      <c r="A5" s="104">
        <v>2018</v>
      </c>
      <c r="B5">
        <v>360857</v>
      </c>
      <c r="C5">
        <v>5227993</v>
      </c>
      <c r="D5">
        <v>6.9024002136192614E-2</v>
      </c>
      <c r="E5">
        <v>360857</v>
      </c>
    </row>
    <row r="6" spans="1:5">
      <c r="A6" s="104">
        <v>2019</v>
      </c>
      <c r="B6">
        <v>427585</v>
      </c>
      <c r="C6">
        <v>6421627</v>
      </c>
      <c r="D6">
        <v>6.6585150461090314E-2</v>
      </c>
      <c r="E6">
        <v>427585</v>
      </c>
    </row>
    <row r="7" spans="1:5">
      <c r="A7" s="104">
        <v>2020</v>
      </c>
      <c r="B7">
        <v>119957</v>
      </c>
      <c r="D7">
        <v>6.6585150461090314E-2</v>
      </c>
      <c r="E7">
        <v>119957</v>
      </c>
    </row>
    <row r="8" spans="1:5">
      <c r="A8" s="104">
        <v>2021</v>
      </c>
      <c r="B8">
        <v>336251</v>
      </c>
      <c r="D8">
        <v>6.6585150461090314E-2</v>
      </c>
      <c r="E8">
        <v>336251</v>
      </c>
    </row>
    <row r="9" spans="1:5">
      <c r="A9" s="104">
        <v>2022</v>
      </c>
      <c r="B9">
        <v>503019</v>
      </c>
      <c r="C9">
        <v>6518515</v>
      </c>
      <c r="D9">
        <v>7.7167729153035616E-2</v>
      </c>
      <c r="E9">
        <v>503019</v>
      </c>
    </row>
    <row r="10" spans="1:5">
      <c r="A10" s="104">
        <v>2023</v>
      </c>
      <c r="B10">
        <v>493899</v>
      </c>
      <c r="C10">
        <v>7286530</v>
      </c>
      <c r="D10">
        <v>6.7782469845042839E-2</v>
      </c>
      <c r="E10">
        <v>493899</v>
      </c>
    </row>
    <row r="11" spans="1:5">
      <c r="A11" s="104">
        <v>2024</v>
      </c>
      <c r="B11">
        <v>601405</v>
      </c>
      <c r="C11">
        <v>7721512</v>
      </c>
      <c r="D11">
        <v>0.09</v>
      </c>
      <c r="E11">
        <f>C11*D11</f>
        <v>694936.08</v>
      </c>
    </row>
    <row r="12" spans="1:5">
      <c r="A12" s="104">
        <v>2025</v>
      </c>
      <c r="C12">
        <v>8272809</v>
      </c>
      <c r="D12">
        <v>0.09</v>
      </c>
      <c r="E12">
        <f t="shared" ref="E12:E39" si="0">C12*D12</f>
        <v>744552.80999999994</v>
      </c>
    </row>
    <row r="13" spans="1:5">
      <c r="A13" s="104">
        <v>2026</v>
      </c>
      <c r="C13">
        <v>8889600</v>
      </c>
      <c r="D13">
        <v>0.09</v>
      </c>
      <c r="E13">
        <f t="shared" si="0"/>
        <v>800064</v>
      </c>
    </row>
    <row r="14" spans="1:5">
      <c r="A14" s="104">
        <v>2027</v>
      </c>
      <c r="C14">
        <v>9517063</v>
      </c>
      <c r="D14">
        <v>0.09</v>
      </c>
      <c r="E14">
        <f t="shared" si="0"/>
        <v>856535.66999999993</v>
      </c>
    </row>
    <row r="15" spans="1:5">
      <c r="A15" s="104">
        <v>2028</v>
      </c>
      <c r="C15">
        <v>10174388</v>
      </c>
      <c r="D15">
        <v>0.09</v>
      </c>
      <c r="E15">
        <f t="shared" si="0"/>
        <v>915694.91999999993</v>
      </c>
    </row>
    <row r="16" spans="1:5">
      <c r="A16" s="104">
        <v>2029</v>
      </c>
      <c r="C16">
        <v>10877594</v>
      </c>
      <c r="D16">
        <v>0.09</v>
      </c>
      <c r="E16">
        <f t="shared" si="0"/>
        <v>978983.46</v>
      </c>
    </row>
    <row r="17" spans="1:5">
      <c r="A17" s="104">
        <v>2030</v>
      </c>
      <c r="C17">
        <v>11622038</v>
      </c>
      <c r="D17">
        <v>0.09</v>
      </c>
      <c r="E17">
        <f t="shared" si="0"/>
        <v>1045983.4199999999</v>
      </c>
    </row>
    <row r="18" spans="1:5">
      <c r="A18" s="104">
        <v>2031</v>
      </c>
      <c r="C18">
        <v>12380233</v>
      </c>
      <c r="D18">
        <v>0.09</v>
      </c>
      <c r="E18">
        <f t="shared" si="0"/>
        <v>1114220.97</v>
      </c>
    </row>
    <row r="19" spans="1:5">
      <c r="A19" s="104">
        <v>2032</v>
      </c>
      <c r="C19">
        <v>13127388</v>
      </c>
      <c r="D19">
        <v>0.09</v>
      </c>
      <c r="E19">
        <f t="shared" si="0"/>
        <v>1181464.92</v>
      </c>
    </row>
    <row r="20" spans="1:5">
      <c r="A20" s="104">
        <v>2033</v>
      </c>
      <c r="C20">
        <v>13880818</v>
      </c>
      <c r="D20">
        <v>0.09</v>
      </c>
      <c r="E20">
        <f t="shared" si="0"/>
        <v>1249273.6199999999</v>
      </c>
    </row>
    <row r="21" spans="1:5">
      <c r="A21" s="104">
        <v>2034</v>
      </c>
      <c r="C21">
        <v>14631335</v>
      </c>
      <c r="D21">
        <v>0.09</v>
      </c>
      <c r="E21">
        <f t="shared" si="0"/>
        <v>1316820.1499999999</v>
      </c>
    </row>
    <row r="22" spans="1:5">
      <c r="A22" s="104">
        <v>2035</v>
      </c>
      <c r="C22">
        <v>15377925</v>
      </c>
      <c r="D22">
        <v>0.09</v>
      </c>
      <c r="E22">
        <f t="shared" si="0"/>
        <v>1384013.25</v>
      </c>
    </row>
    <row r="23" spans="1:5">
      <c r="A23" s="104">
        <v>2036</v>
      </c>
      <c r="C23">
        <v>16121934</v>
      </c>
      <c r="D23">
        <v>0.09</v>
      </c>
      <c r="E23">
        <f t="shared" si="0"/>
        <v>1450974.06</v>
      </c>
    </row>
    <row r="24" spans="1:5">
      <c r="A24" s="104">
        <v>2037</v>
      </c>
      <c r="C24">
        <v>16859444</v>
      </c>
      <c r="D24">
        <v>0.09</v>
      </c>
      <c r="E24">
        <f t="shared" si="0"/>
        <v>1517349.96</v>
      </c>
    </row>
    <row r="25" spans="1:5">
      <c r="A25" s="104">
        <v>2038</v>
      </c>
      <c r="C25">
        <v>17593637</v>
      </c>
      <c r="D25">
        <v>0.09</v>
      </c>
      <c r="E25">
        <f t="shared" si="0"/>
        <v>1583427.3299999998</v>
      </c>
    </row>
    <row r="26" spans="1:5">
      <c r="A26" s="104">
        <v>2039</v>
      </c>
      <c r="C26">
        <v>18323491</v>
      </c>
      <c r="D26">
        <v>0.09</v>
      </c>
      <c r="E26">
        <f t="shared" si="0"/>
        <v>1649114.19</v>
      </c>
    </row>
    <row r="27" spans="1:5">
      <c r="A27" s="104">
        <v>2040</v>
      </c>
      <c r="C27">
        <v>19050339</v>
      </c>
      <c r="D27">
        <v>0.09</v>
      </c>
      <c r="E27">
        <f t="shared" si="0"/>
        <v>1714530.51</v>
      </c>
    </row>
    <row r="28" spans="1:5">
      <c r="A28" s="104">
        <v>2041</v>
      </c>
      <c r="C28">
        <v>19770255</v>
      </c>
      <c r="D28">
        <v>0.09</v>
      </c>
      <c r="E28">
        <f t="shared" si="0"/>
        <v>1779322.95</v>
      </c>
    </row>
    <row r="29" spans="1:5">
      <c r="A29" s="104">
        <v>2042</v>
      </c>
      <c r="C29">
        <v>20486408</v>
      </c>
      <c r="D29">
        <v>0.09</v>
      </c>
      <c r="E29">
        <f t="shared" si="0"/>
        <v>1843776.72</v>
      </c>
    </row>
    <row r="30" spans="1:5">
      <c r="A30" s="104">
        <v>2043</v>
      </c>
      <c r="C30">
        <v>21197767</v>
      </c>
      <c r="D30">
        <v>0.09</v>
      </c>
      <c r="E30">
        <f t="shared" si="0"/>
        <v>1907799.03</v>
      </c>
    </row>
    <row r="31" spans="1:5">
      <c r="A31" s="104">
        <v>2044</v>
      </c>
      <c r="C31">
        <v>21905654</v>
      </c>
      <c r="D31">
        <v>0.09</v>
      </c>
      <c r="E31">
        <f t="shared" si="0"/>
        <v>1971508.8599999999</v>
      </c>
    </row>
    <row r="32" spans="1:5">
      <c r="A32" s="104">
        <v>2045</v>
      </c>
      <c r="C32">
        <v>22606129</v>
      </c>
      <c r="D32">
        <v>0.09</v>
      </c>
      <c r="E32">
        <f t="shared" si="0"/>
        <v>2034551.6099999999</v>
      </c>
    </row>
    <row r="33" spans="1:5">
      <c r="A33" s="104">
        <v>2046</v>
      </c>
      <c r="C33">
        <v>23302350</v>
      </c>
      <c r="D33">
        <v>0.09</v>
      </c>
      <c r="E33">
        <f t="shared" si="0"/>
        <v>2097211.5</v>
      </c>
    </row>
    <row r="34" spans="1:5">
      <c r="A34" s="104">
        <v>2047</v>
      </c>
      <c r="C34">
        <v>23993275</v>
      </c>
      <c r="D34">
        <v>0.09</v>
      </c>
      <c r="E34">
        <f t="shared" si="0"/>
        <v>2159394.75</v>
      </c>
    </row>
    <row r="35" spans="1:5">
      <c r="A35" s="104">
        <v>2048</v>
      </c>
      <c r="C35">
        <v>24680210</v>
      </c>
      <c r="D35">
        <v>0.09</v>
      </c>
      <c r="E35">
        <f t="shared" si="0"/>
        <v>2221218.9</v>
      </c>
    </row>
    <row r="36" spans="1:5">
      <c r="A36" s="104">
        <v>2049</v>
      </c>
      <c r="C36">
        <v>25359207</v>
      </c>
      <c r="D36">
        <v>0.09</v>
      </c>
      <c r="E36">
        <f t="shared" si="0"/>
        <v>2282328.63</v>
      </c>
    </row>
    <row r="37" spans="1:5">
      <c r="A37" s="104">
        <v>2050</v>
      </c>
      <c r="C37">
        <v>26033408</v>
      </c>
      <c r="D37">
        <v>0.09</v>
      </c>
      <c r="E37">
        <f t="shared" si="0"/>
        <v>2343006.7199999997</v>
      </c>
    </row>
    <row r="38" spans="1:5">
      <c r="A38" s="104">
        <v>2051</v>
      </c>
      <c r="C38">
        <v>26701757</v>
      </c>
      <c r="D38">
        <v>0.09</v>
      </c>
      <c r="E38">
        <f t="shared" si="0"/>
        <v>2403158.13</v>
      </c>
    </row>
    <row r="39" spans="1:5">
      <c r="A39" s="104">
        <v>2052</v>
      </c>
      <c r="C39">
        <v>27365549</v>
      </c>
      <c r="D39">
        <v>0.09</v>
      </c>
      <c r="E39">
        <f t="shared" si="0"/>
        <v>2462899.4099999997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Demand</vt:lpstr>
      <vt:lpstr>raw_data</vt:lpstr>
      <vt:lpstr>ref</vt:lpstr>
      <vt:lpstr>Reg (total_passenger)</vt:lpstr>
      <vt:lpstr>Country Ratio (total_passenger)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경훈 박</dc:creator>
  <cp:lastModifiedBy>경훈 박</cp:lastModifiedBy>
  <dcterms:created xsi:type="dcterms:W3CDTF">2024-10-26T10:23:40Z</dcterms:created>
  <dcterms:modified xsi:type="dcterms:W3CDTF">2026-04-21T00:15:55Z</dcterms:modified>
</cp:coreProperties>
</file>